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09bcb8b130246a0" /></Relationships>
</file>

<file path=xl/workbook.xml><?xml version="1.0" encoding="utf-8"?>
<x:workbook xmlns:x="http://schemas.openxmlformats.org/spreadsheetml/2006/main">
  <x:sheets>
    <x:sheet xmlns:r="http://schemas.openxmlformats.org/officeDocument/2006/relationships" name="Hypothèses &amp; sources" sheetId="1" r:id="Rb9153424a4464964"/>
    <x:sheet xmlns:r="http://schemas.openxmlformats.org/officeDocument/2006/relationships" name="Classement global" sheetId="2" r:id="R1bbfcf170fb247bd"/>
    <x:sheet xmlns:r="http://schemas.openxmlformats.org/officeDocument/2006/relationships" name="Prix croissant" sheetId="3" r:id="R1340db37616e43bf"/>
    <x:sheet xmlns:r="http://schemas.openxmlformats.org/officeDocument/2006/relationships" name="Préparation rapide" sheetId="4" r:id="R9b452959a3ad42b5"/>
    <x:sheet xmlns:r="http://schemas.openxmlformats.org/officeDocument/2006/relationships" name="Magasins" sheetId="5" r:id="Ra84551f2e9de4784"/>
    <x:sheet xmlns:r="http://schemas.openxmlformats.org/officeDocument/2006/relationships" name="Tableau de bord" sheetId="6" r:id="R91e074d6a7aa4630"/>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x"/>
    <x:numFmt numFmtId="202" formatCode="#,##0.00 [$€-fr-FR]"/>
    <x:numFmt numFmtId="203" formatCode="0.0"/>
    <x:numFmt numFmtId="204" formatCode="0 &quot;min&quot;"/>
  </x:numFmts>
  <x:fonts count="5">
    <x:font>
      <x:sz val="11"/>
      <x:name val="Carlito"/>
    </x:font>
    <x:font>
      <x:b/>
      <x:sz val="18"/>
      <x:color rgb="FFFFFFFF"/>
      <x:name val="Carlito"/>
    </x:font>
    <x:font>
      <x:b/>
      <x:sz val="11"/>
      <x:color rgb="FFFFFFFF"/>
      <x:name val="Carlito"/>
    </x:font>
    <x:font>
      <x:i/>
      <x:sz val="11"/>
      <x:color rgb="FF7F6000"/>
      <x:name val="Carlito"/>
    </x:font>
    <x:font>
      <x:b/>
      <x:sz val="11"/>
      <x:color rgb="FF17365D"/>
      <x:name val="Carlito"/>
    </x:font>
  </x:fonts>
  <x:fills count="10">
    <x:fill>
      <x:patternFill patternType="none"/>
    </x:fill>
    <x:fill>
      <x:patternFill patternType="gray125"/>
    </x:fill>
    <x:fill>
      <x:patternFill patternType="solid">
        <x:fgColor rgb="FF1F4E78"/>
      </x:patternFill>
    </x:fill>
    <x:fill>
      <x:patternFill patternType="solid">
        <x:fgColor rgb="FF2F75B5"/>
      </x:patternFill>
    </x:fill>
    <x:fill>
      <x:patternFill patternType="solid">
        <x:fgColor rgb="FFFFF2CC"/>
      </x:patternFill>
    </x:fill>
    <x:fill>
      <x:patternFill patternType="solid">
        <x:fgColor rgb="FFD9EAF7"/>
      </x:patternFill>
    </x:fill>
    <x:fill>
      <x:patternFill patternType="solid">
        <x:fgColor rgb="FF2F75B5"/>
      </x:patternFill>
    </x:fill>
    <x:fill>
      <x:patternFill patternType="solid">
        <x:fgColor rgb="FFFFF2CC"/>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9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200" fontId="0" fillId="0" borderId="0" xfId="0" applyNumberFormat="1" applyFont="1" applyFill="1" applyBorder="1"/>
    <x:xf numFmtId="200"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2" fillId="3" borderId="1" xfId="0" applyNumberFormat="1" applyFont="1" applyFill="1" applyBorder="1" applyAlignment="1">
      <x:alignment horizontal="center" vertical="top" wrapText="1"/>
    </x:xf>
    <x:xf numFmtId="200" fontId="0" fillId="0" borderId="1" xfId="0" applyNumberFormat="1" applyFont="1" applyFill="1" applyBorder="1" applyAlignment="1">
      <x:alignment vertical="top"/>
    </x:xf>
    <x:xf numFmtId="201"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200"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0" fontId="1" fillId="2" borderId="1" xfId="0" applyNumberFormat="1" applyFont="1" applyFill="1" applyBorder="1" applyAlignment="1">
      <x:alignment horizontal="left" vertical="top" wrapText="1"/>
    </x:xf>
    <x:xf numFmtId="200" fontId="0" fillId="0" borderId="1" xfId="0" applyNumberFormat="1" applyFont="1" applyFill="1" applyBorder="1" applyAlignment="1">
      <x:alignment vertical="top" wrapText="1"/>
    </x:xf>
    <x:xf numFmtId="201" fontId="0" fillId="0" borderId="1" xfId="0" applyNumberFormat="1" applyFont="1" applyFill="1" applyBorder="1" applyAlignment="1">
      <x:alignment vertical="top" wrapText="1"/>
    </x:xf>
    <x:xf numFmtId="202" fontId="0" fillId="0" borderId="0" xfId="0" applyNumberFormat="1" applyFont="1" applyFill="1" applyBorder="1"/>
    <x:xf numFmtId="202" fontId="0" fillId="0" borderId="1" xfId="0" applyNumberFormat="1" applyFont="1" applyFill="1" applyBorder="1"/>
    <x:xf numFmtId="203" fontId="0" fillId="0" borderId="0" xfId="0" applyNumberFormat="1" applyFont="1" applyFill="1" applyBorder="1"/>
    <x:xf numFmtId="203" fontId="0" fillId="0" borderId="1" xfId="0" applyNumberFormat="1" applyFont="1" applyFill="1" applyBorder="1"/>
    <x:xf numFmtId="203"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203" fontId="0" fillId="0" borderId="1" xfId="0" applyNumberFormat="1" applyFont="1" applyFill="1" applyBorder="1" applyAlignment="1">
      <x:alignment vertical="top"/>
    </x:xf>
    <x:xf numFmtId="202" fontId="0" fillId="0" borderId="1" xfId="0" applyNumberFormat="1" applyFont="1" applyFill="1" applyBorder="1" applyAlignment="1">
      <x:alignment vertical="top"/>
    </x:xf>
    <x:xf numFmtId="201" fontId="0" fillId="0" borderId="0" xfId="0" applyNumberFormat="1" applyFont="1" applyFill="1" applyBorder="1" applyAlignment="1">
      <x:alignment wrapText="1"/>
    </x:xf>
    <x:xf numFmtId="201" fontId="0" fillId="0" borderId="1"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left"/>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left"/>
    </x:xf>
    <x:xf numFmtId="202" fontId="4" fillId="5" borderId="0" xfId="0" applyNumberFormat="1" applyFont="1" applyFill="1" applyBorder="1" applyAlignment="1">
      <x:alignment horizontal="left"/>
    </x:xf>
    <x:xf numFmtId="202" fontId="4" fillId="5" borderId="1" xfId="0" applyNumberFormat="1" applyFont="1" applyFill="1" applyBorder="1" applyAlignment="1">
      <x:alignment horizontal="left"/>
    </x:xf>
    <x:xf numFmtId="204" fontId="4" fillId="5" borderId="0" xfId="0" applyNumberFormat="1" applyFont="1" applyFill="1" applyBorder="1" applyAlignment="1">
      <x:alignment horizontal="left"/>
    </x:xf>
    <x:xf numFmtId="204" fontId="4" fillId="5" borderId="1" xfId="0" applyNumberFormat="1" applyFont="1" applyFill="1" applyBorder="1" applyAlignment="1">
      <x:alignment horizontal="left"/>
    </x:xf>
    <x:xf numFmtId="203" fontId="4" fillId="5" borderId="0" xfId="0" applyNumberFormat="1" applyFont="1" applyFill="1" applyBorder="1" applyAlignment="1">
      <x:alignment horizontal="left"/>
    </x:xf>
    <x:xf numFmtId="203" fontId="4" fillId="5" borderId="1" xfId="0" applyNumberFormat="1" applyFont="1" applyFill="1" applyBorder="1" applyAlignment="1">
      <x:alignment horizontal="left"/>
    </x:xf>
    <x:xf numFmtId="204" fontId="0" fillId="0" borderId="0" xfId="0" applyNumberFormat="1" applyFont="1" applyFill="1" applyBorder="1"/>
    <x:xf numFmtId="204" fontId="0" fillId="0" borderId="1" xfId="0" applyNumberFormat="1" applyFont="1" applyFill="1" applyBorder="1"/>
    <x:xf numFmtId="202"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203"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4" fontId="0" fillId="0" borderId="1" xfId="0" applyNumberFormat="1" applyFont="1" applyFill="1" applyBorder="1" applyAlignment="1">
      <x:alignment wrapText="1"/>
    </x:xf>
    <x:xf numFmtId="203" fontId="0" fillId="0" borderId="1" xfId="0" applyNumberFormat="1" applyFont="1" applyFill="1" applyBorder="1" applyAlignment="1">
      <x:alignment wrapText="1"/>
    </x:xf>
    <x:xf numFmtId="0" fontId="0" fillId="0" borderId="0" xfId="0" applyNumberFormat="1" applyFont="1" applyFill="1" applyBorder="1"/>
    <x:xf numFmtId="0" fontId="2" fillId="6" borderId="0" xfId="0" applyNumberFormat="1" applyFont="1" applyFill="1" applyBorder="1" applyAlignment="1">
      <x:alignment horizontal="center" vertical="top" wrapText="1"/>
    </x:xf>
    <x:xf numFmtId="0" fontId="2" fillId="6" borderId="0" xfId="0" applyNumberFormat="1" applyFont="1" applyFill="1" applyBorder="1" applyAlignment="1">
      <x:alignment horizontal="center" vertical="center" wrapText="1"/>
    </x:xf>
    <x:xf numFmtId="0" fontId="3" fillId="7" borderId="0" xfId="0" applyNumberFormat="1" applyFont="1" applyFill="1" applyBorder="1" applyAlignment="1">
      <x:alignment vertical="top" wrapText="1"/>
    </x:xf>
    <x:xf numFmtId="0" fontId="1" fillId="8" borderId="0" xfId="0" applyNumberFormat="1" applyFont="1" applyFill="1" applyBorder="1" applyAlignment="1">
      <x:alignment horizontal="left" vertical="center"/>
    </x:xf>
    <x:xf numFmtId="0" fontId="4" fillId="9" borderId="0" xfId="0" applyNumberFormat="1" applyFont="1" applyFill="1" applyBorder="1" applyAlignment="1">
      <x:alignment horizontal="left"/>
    </x:xf>
    <x:xf numFmtId="202" fontId="4" fillId="9" borderId="0" xfId="0" applyNumberFormat="1" applyFont="1" applyFill="1" applyBorder="1" applyAlignment="1">
      <x:alignment horizontal="left"/>
    </x:xf>
    <x:xf numFmtId="204" fontId="4" fillId="9" borderId="0" xfId="0" applyNumberFormat="1" applyFont="1" applyFill="1" applyBorder="1" applyAlignment="1">
      <x:alignment horizontal="left"/>
    </x:xf>
    <x:xf numFmtId="203" fontId="4" fillId="9" borderId="0" xfId="0" applyNumberFormat="1" applyFont="1" applyFill="1" applyBorder="1" applyAlignment="1">
      <x:alignment horizontal="left"/>
    </x:xf>
    <x:xf numFmtId="0" fontId="3" fillId="7"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aa43ec4c8b4972" /><Relationship Type="http://schemas.openxmlformats.org/officeDocument/2006/relationships/theme" Target="/xl/theme/theme1.xml" Id="R68bfd6e3fbb44a46" /><Relationship Type="http://schemas.openxmlformats.org/officeDocument/2006/relationships/sharedStrings" Target="/xl/sharedStrings.xml" Id="R5dea6ae6637b4c30" /><Relationship Type="http://schemas.openxmlformats.org/officeDocument/2006/relationships/worksheet" Target="/xl/worksheets/sheet1.xml" Id="Rb9153424a4464964" /><Relationship Type="http://schemas.openxmlformats.org/officeDocument/2006/relationships/worksheet" Target="/xl/worksheets/sheet2.xml" Id="R1bbfcf170fb247bd" /><Relationship Type="http://schemas.openxmlformats.org/officeDocument/2006/relationships/worksheet" Target="/xl/worksheets/sheet3.xml" Id="R1340db37616e43bf" /><Relationship Type="http://schemas.openxmlformats.org/officeDocument/2006/relationships/worksheet" Target="/xl/worksheets/sheet4.xml" Id="R9b452959a3ad42b5" /><Relationship Type="http://schemas.openxmlformats.org/officeDocument/2006/relationships/worksheet" Target="/xl/worksheets/sheet5.xml" Id="Ra84551f2e9de4784" /><Relationship Type="http://schemas.openxmlformats.org/officeDocument/2006/relationships/worksheet" Target="/xl/worksheets/sheet6.xml" Id="R91e074d6a7aa4630" /></Relationships>
</file>

<file path=xl/drawings/_rels/drawing1.xml.rels>&#65279;<?xml version="1.0" encoding="utf-8"?><Relationships xmlns="http://schemas.openxmlformats.org/package/2006/relationships"><Relationship Type="http://schemas.openxmlformats.org/officeDocument/2006/relationships/chart" Target="/xl/drawings/charts/chart1.xml" Id="Rd226981b0b6a42e7"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Score</c:v>
          </c:tx>
          <c:cat>
            <c:strRef>
              <c:f>='Tableau de bord'!$B$7:$B$16</c:f>
              <c:strCache>
                <c:ptCount val="0"/>
              </c:strCache>
            </c:strRef>
          </c:cat>
          <c:val>
            <c:numRef>
              <c:f>='Tableau de bord'!$F$7:$F$16</c:f>
              <c:numCache>
                <c:formatCode>0.0</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5</xdr:row>
      <xdr:rowOff>0</xdr:rowOff>
    </xdr:from>
    <xdr:to>
      <xdr:col>16</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226981b0b6a42e7"/>
        </a:graphicData>
      </a:graphic>
    </xdr:graphicFrame>
    <xdr:clientData/>
  </xdr:twoCellAnchor>
</xdr:wsDr>
</file>

<file path=xl/tables/table1.xml><?xml version="1.0" encoding="utf-8"?>
<x:table xmlns:x="http://schemas.openxmlformats.org/spreadsheetml/2006/main" id="6" name="ClassementGlobalTable" displayName="ClassementGlobalTable" ref="A4:T200" headerRowCount="1">
  <x:tableColumns count="20">
    <x:tableColumn id="1" name="Rang"/>
    <x:tableColumn id="2" name="Recette"/>
    <x:tableColumn id="3" name="Catégorie"/>
    <x:tableColumn id="4" name="Ingrédients principaux estimés"/>
    <x:tableColumn id="5" name="Préparation active (min)"/>
    <x:tableColumn id="6" name="Temps total (min)"/>
    <x:tableColumn id="7" name="Satiété estimée /5"/>
    <x:tableColumn id="8" name="Équilibre /5"/>
    <x:tableColumn id="9" name="Spécialité 0–2"/>
    <x:tableColumn id="10" name="Base Lidl estimée"/>
    <x:tableColumn id="11" name="Lidl"/>
    <x:tableColumn id="12" name="Super U"/>
    <x:tableColumn id="13" name="Carrefour"/>
    <x:tableColumn id="14" name="Auchan"/>
    <x:tableColumn id="15" name="Monoprix"/>
    <x:tableColumn id="16" name="Enseigne recommandée"/>
    <x:tableColumn id="17" name="Coût recommandé"/>
    <x:tableColumn id="18" name="Coût / portion"/>
    <x:tableColumn id="19" name="Score qualité-prix /100"/>
    <x:tableColumn id="20" name="Pénalité complétude"/>
  </x:tableColumns>
  <x:tableStyleInfo name="TableStyleMedium2" showRowStripes="1"/>
</x:table>
</file>

<file path=xl/tables/table2.xml><?xml version="1.0" encoding="utf-8"?>
<x:table xmlns:x="http://schemas.openxmlformats.org/spreadsheetml/2006/main" id="7" name="PrixCroissantTable" displayName="PrixCroissantTable" ref="A4:T200" headerRowCount="1">
  <x:tableColumns count="20">
    <x:tableColumn id="1" name="Rang"/>
    <x:tableColumn id="2" name="Recette"/>
    <x:tableColumn id="3" name="Catégorie"/>
    <x:tableColumn id="4" name="Ingrédients principaux estimés"/>
    <x:tableColumn id="5" name="Préparation active (min)"/>
    <x:tableColumn id="6" name="Temps total (min)"/>
    <x:tableColumn id="7" name="Satiété estimée /5"/>
    <x:tableColumn id="8" name="Équilibre /5"/>
    <x:tableColumn id="9" name="Spécialité 0–2"/>
    <x:tableColumn id="10" name="Base Lidl estimée"/>
    <x:tableColumn id="11" name="Lidl"/>
    <x:tableColumn id="12" name="Super U"/>
    <x:tableColumn id="13" name="Carrefour"/>
    <x:tableColumn id="14" name="Auchan"/>
    <x:tableColumn id="15" name="Monoprix"/>
    <x:tableColumn id="16" name="Enseigne recommandée"/>
    <x:tableColumn id="17" name="Coût recommandé"/>
    <x:tableColumn id="18" name="Coût / portion"/>
    <x:tableColumn id="19" name="Score qualité-prix /100"/>
    <x:tableColumn id="20" name="Pénalité complétude"/>
  </x:tableColumns>
  <x:tableStyleInfo name="TableStyleMedium2" showRowStripes="1"/>
</x:table>
</file>

<file path=xl/tables/table3.xml><?xml version="1.0" encoding="utf-8"?>
<x:table xmlns:x="http://schemas.openxmlformats.org/spreadsheetml/2006/main" id="8" name="PreparationRapideTable" displayName="PreparationRapideTable" ref="A4:T200" headerRowCount="1">
  <x:tableColumns count="20">
    <x:tableColumn id="1" name="Rang"/>
    <x:tableColumn id="2" name="Recette"/>
    <x:tableColumn id="3" name="Catégorie"/>
    <x:tableColumn id="4" name="Ingrédients principaux estimés"/>
    <x:tableColumn id="5" name="Préparation active (min)"/>
    <x:tableColumn id="6" name="Temps total (min)"/>
    <x:tableColumn id="7" name="Satiété estimée /5"/>
    <x:tableColumn id="8" name="Équilibre /5"/>
    <x:tableColumn id="9" name="Spécialité 0–2"/>
    <x:tableColumn id="10" name="Base Lidl estimée"/>
    <x:tableColumn id="11" name="Lidl"/>
    <x:tableColumn id="12" name="Super U"/>
    <x:tableColumn id="13" name="Carrefour"/>
    <x:tableColumn id="14" name="Auchan"/>
    <x:tableColumn id="15" name="Monoprix"/>
    <x:tableColumn id="16" name="Enseigne recommandée"/>
    <x:tableColumn id="17" name="Coût recommandé"/>
    <x:tableColumn id="18" name="Coût / portion"/>
    <x:tableColumn id="19" name="Score qualité-prix /100"/>
    <x:tableColumn id="20" name="Pénalité complétude"/>
  </x:tableColumns>
  <x:tableStyleInfo name="TableStyleMedium2" showRowStripes="1"/>
</x:table>
</file>

<file path=xl/tables/table4.xml><?xml version="1.0" encoding="utf-8"?>
<x:table xmlns:x="http://schemas.openxmlformats.org/spreadsheetml/2006/main" id="4" name="MagasinsTable" displayName="MagasinsTable" ref="A3:G8" headerRowCount="1">
  <x:tableColumns count="7">
    <x:tableColumn id="1" name="Enseigne"/>
    <x:tableColumn id="2" name="Adresse"/>
    <x:tableColumn id="3" name="Distance approximative"/>
    <x:tableColumn id="4" name="Indice prix"/>
    <x:tableColumn id="5" name="Assortiment"/>
    <x:tableColumn id="6" name="Note"/>
    <x:tableColumn id="7" name="Source"/>
  </x:tableColumns>
  <x:tableStyleInfo name="TableStyleMedium2" showRowStripes="1"/>
</x:table>
</file>

<file path=xl/tables/table5.xml><?xml version="1.0" encoding="utf-8"?>
<x:table xmlns:x="http://schemas.openxmlformats.org/spreadsheetml/2006/main" id="9" name="Top15Table" displayName="Top15Table" ref="A6:F21" headerRowCount="1">
  <x:tableColumns count="6">
    <x:tableColumn id="1" name="Rang"/>
    <x:tableColumn id="2" name="Recette"/>
    <x:tableColumn id="3" name="Coût recommandé"/>
    <x:tableColumn id="4" name="€/portion"/>
    <x:tableColumn id="5" name="Préparation"/>
    <x:tableColumn id="6" name="Scor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f8594b79e304395" /></Relationships>
</file>

<file path=xl/worksheets/_rels/sheet3.xml.rels>&#65279;<?xml version="1.0" encoding="utf-8"?><Relationships xmlns="http://schemas.openxmlformats.org/package/2006/relationships"><Relationship Type="http://schemas.openxmlformats.org/officeDocument/2006/relationships/table" Target="/xl/tables/table2.xml" Id="R520f483a35c44b83" /></Relationships>
</file>

<file path=xl/worksheets/_rels/sheet4.xml.rels>&#65279;<?xml version="1.0" encoding="utf-8"?><Relationships xmlns="http://schemas.openxmlformats.org/package/2006/relationships"><Relationship Type="http://schemas.openxmlformats.org/officeDocument/2006/relationships/table" Target="/xl/tables/table3.xml" Id="R39b0188295ef4deb" /></Relationships>
</file>

<file path=xl/worksheets/_rels/sheet5.xml.rels>&#65279;<?xml version="1.0" encoding="utf-8"?><Relationships xmlns="http://schemas.openxmlformats.org/package/2006/relationships"><Relationship Type="http://schemas.openxmlformats.org/officeDocument/2006/relationships/table" Target="/xl/tables/table4.xml" Id="R3e157f1fa90a4b65" /></Relationships>
</file>

<file path=xl/worksheets/_rels/sheet6.xml.rels>&#65279;<?xml version="1.0" encoding="utf-8"?><Relationships xmlns="http://schemas.openxmlformats.org/package/2006/relationships"><Relationship Type="http://schemas.openxmlformats.org/officeDocument/2006/relationships/drawing" Target="/xl/drawings/drawing1.xml" Id="R97ca2577c43c4d3f" /><Relationship Type="http://schemas.openxmlformats.org/officeDocument/2006/relationships/table" Target="/xl/tables/table5.xml" Id="R40f7302f4e95484a" /></Relationships>
</file>

<file path=xl/worksheets/sheet1.xml><?xml version="1.0" encoding="utf-8"?>
<x:worksheet xmlns:x="http://schemas.openxmlformats.org/spreadsheetml/2006/main">
  <x:sheetFormatPr defaultRowHeight="15"/>
  <x:cols>
    <x:col min="1" max="1" width="31" hidden="0" customWidth="1"/>
    <x:col min="2" max="2" width="58" hidden="0" customWidth="1"/>
    <x:col min="3" max="3" width="55" hidden="0" customWidth="1"/>
    <x:col min="4" max="4" width="22" hidden="0" customWidth="1"/>
    <x:col min="5" max="5" width="13" hidden="0" customWidth="1"/>
    <x:col min="6" max="6" width="13" hidden="0" customWidth="1"/>
    <x:col min="7" max="7" width="13" hidden="0" customWidth="1"/>
    <x:col min="8" max="8" width="13" hidden="0" customWidth="1"/>
    <x:col min="9" max="9" width="13" hidden="0" customWidth="1"/>
  </x:cols>
  <x:sheetData>
    <x:row r="1" ht="30" customHeight="1">
      <x:c r="A1" s="46" t="str">
        <x:v>Hypothèses de calcul — recettes Instant Pot / Air Fryer</x:v>
      </x:c>
      <x:c r="B1" s="46"/>
      <x:c r="C1" s="46"/>
      <x:c r="D1" s="46"/>
      <x:c r="E1" s="46"/>
      <x:c r="F1" s="46"/>
      <x:c r="G1" s="38"/>
      <x:c r="H1" s="38"/>
      <x:c r="I1" s="38"/>
    </x:row>
    <x:row r="2">
      <x:c r="A2" s="38"/>
      <x:c r="B2" s="38"/>
      <x:c r="C2" s="38"/>
      <x:c r="D2" s="38"/>
      <x:c r="E2" s="38"/>
      <x:c r="F2" s="38"/>
      <x:c r="G2" s="38"/>
      <x:c r="H2" s="38"/>
      <x:c r="I2" s="38"/>
    </x:row>
    <x:row r="3">
      <x:c r="A3" s="34" t="str">
        <x:v>Paramètre</x:v>
      </x:c>
      <x:c r="B3" s="34" t="str">
        <x:v>Valeur</x:v>
      </x:c>
      <x:c r="C3" s="38"/>
      <x:c r="D3" s="34" t="str">
        <x:v>Enseigne</x:v>
      </x:c>
      <x:c r="E3" s="34" t="str">
        <x:v>Lidl</x:v>
      </x:c>
      <x:c r="F3" s="34" t="str">
        <x:v>Super U</x:v>
      </x:c>
      <x:c r="G3" s="34" t="str">
        <x:v>Carrefour</x:v>
      </x:c>
      <x:c r="H3" s="34" t="str">
        <x:v>Auchan</x:v>
      </x:c>
      <x:c r="I3" s="34" t="str">
        <x:v>Monoprix</x:v>
      </x:c>
    </x:row>
    <x:row r="4">
      <x:c r="A4" s="38" t="str">
        <x:v>Nombre de portions</x:v>
      </x:c>
      <x:c r="B4" s="47" t="n">
        <x:v>4</x:v>
      </x:c>
      <x:c r="C4" s="38"/>
      <x:c r="D4" s="38" t="str">
        <x:v>Multiplicateur prix</x:v>
      </x:c>
      <x:c r="E4" s="48" t="n">
        <x:v>1</x:v>
      </x:c>
      <x:c r="F4" s="48" t="n">
        <x:v>1.06</x:v>
      </x:c>
      <x:c r="G4" s="48" t="n">
        <x:v>1.1</x:v>
      </x:c>
      <x:c r="H4" s="48" t="n">
        <x:v>1.11</x:v>
      </x:c>
      <x:c r="I4" s="48" t="n">
        <x:v>1.24</x:v>
      </x:c>
    </x:row>
    <x:row r="5">
      <x:c r="A5" s="38" t="str">
        <x:v>Poids coût</x:v>
      </x:c>
      <x:c r="B5" s="47" t="n">
        <x:v>0.42</x:v>
      </x:c>
      <x:c r="C5" s="38"/>
      <x:c r="D5" s="38"/>
      <x:c r="E5" s="38"/>
      <x:c r="F5" s="38"/>
      <x:c r="G5" s="38"/>
      <x:c r="H5" s="38"/>
      <x:c r="I5" s="38"/>
    </x:row>
    <x:row r="6">
      <x:c r="A6" s="38" t="str">
        <x:v>Poids satiété</x:v>
      </x:c>
      <x:c r="B6" s="47" t="n">
        <x:v>0.28</x:v>
      </x:c>
      <x:c r="C6" s="38"/>
      <x:c r="D6" s="38"/>
      <x:c r="E6" s="38"/>
      <x:c r="F6" s="38"/>
      <x:c r="G6" s="38"/>
      <x:c r="H6" s="38"/>
      <x:c r="I6" s="38"/>
    </x:row>
    <x:row r="7">
      <x:c r="A7" s="38" t="str">
        <x:v>Poids équilibre nutritionnel</x:v>
      </x:c>
      <x:c r="B7" s="47" t="n">
        <x:v>0.18</x:v>
      </x:c>
      <x:c r="C7" s="38"/>
      <x:c r="D7" s="38"/>
      <x:c r="E7" s="38"/>
      <x:c r="F7" s="38"/>
      <x:c r="G7" s="38"/>
      <x:c r="H7" s="38"/>
      <x:c r="I7" s="38"/>
    </x:row>
    <x:row r="8">
      <x:c r="A8" s="38" t="str">
        <x:v>Poids temps actif</x:v>
      </x:c>
      <x:c r="B8" s="47" t="n">
        <x:v>0.12</x:v>
      </x:c>
      <x:c r="C8" s="38"/>
      <x:c r="D8" s="38"/>
      <x:c r="E8" s="38"/>
      <x:c r="F8" s="38"/>
      <x:c r="G8" s="38"/>
      <x:c r="H8" s="38"/>
      <x:c r="I8" s="38"/>
    </x:row>
    <x:row r="9">
      <x:c r="A9" s="38" t="str">
        <x:v>Coefficient coût</x:v>
      </x:c>
      <x:c r="B9" s="47" t="n">
        <x:v>12</x:v>
      </x:c>
      <x:c r="C9" s="38"/>
      <x:c r="D9" s="38"/>
      <x:c r="E9" s="38"/>
      <x:c r="F9" s="38"/>
      <x:c r="G9" s="38"/>
      <x:c r="H9" s="38"/>
      <x:c r="I9" s="38"/>
    </x:row>
    <x:row r="10">
      <x:c r="A10" s="38" t="str">
        <x:v>Constante coût</x:v>
      </x:c>
      <x:c r="B10" s="47" t="n">
        <x:v>110</x:v>
      </x:c>
      <x:c r="C10" s="38"/>
      <x:c r="D10" s="38"/>
      <x:c r="E10" s="38"/>
      <x:c r="F10" s="38"/>
      <x:c r="G10" s="38"/>
      <x:c r="H10" s="38"/>
      <x:c r="I10" s="38"/>
    </x:row>
    <x:row r="11">
      <x:c r="A11" s="38" t="str">
        <x:v>Coefficient temps</x:v>
      </x:c>
      <x:c r="B11" s="47" t="n">
        <x:v>2.2</x:v>
      </x:c>
      <x:c r="C11" s="38"/>
      <x:c r="D11" s="38"/>
      <x:c r="E11" s="38"/>
      <x:c r="F11" s="38"/>
      <x:c r="G11" s="38"/>
      <x:c r="H11" s="38"/>
      <x:c r="I11" s="38"/>
    </x:row>
    <x:row r="12">
      <x:c r="A12" s="38" t="str">
        <x:v>Constante temps</x:v>
      </x:c>
      <x:c r="B12" s="47" t="n">
        <x:v>110</x:v>
      </x:c>
      <x:c r="C12" s="38"/>
      <x:c r="D12" s="38"/>
      <x:c r="E12" s="38"/>
      <x:c r="F12" s="38"/>
      <x:c r="G12" s="38"/>
      <x:c r="H12" s="38"/>
      <x:c r="I12" s="38"/>
    </x:row>
    <x:row r="13">
      <x:c r="A13" s="38"/>
      <x:c r="B13" s="38"/>
      <x:c r="C13" s="38"/>
      <x:c r="D13" s="38"/>
      <x:c r="E13" s="38"/>
      <x:c r="F13" s="38"/>
      <x:c r="G13" s="38"/>
      <x:c r="H13" s="38"/>
      <x:c r="I13" s="38"/>
    </x:row>
    <x:row r="14">
      <x:c r="A14" s="38"/>
      <x:c r="B14" s="38"/>
      <x:c r="C14" s="38"/>
      <x:c r="D14" s="38"/>
      <x:c r="E14" s="38"/>
      <x:c r="F14" s="38"/>
      <x:c r="G14" s="38"/>
      <x:c r="H14" s="38"/>
      <x:c r="I14" s="38"/>
    </x:row>
    <x:row r="15" ht="62" customHeight="1">
      <x:c r="A15" s="85" t="str">
        <x:v>Important : les ingrédients sont des versions canoniques déduites des intitulés, et non une extraction exacte de l’application. Le coût correspond aux quantités consommées pour 4 portions. Un premier achat de pots entiers d’épices, sauces ou alcools peut coûter nettement plus. 26 recettes ont été ajoutées le 28/07/2026 ; la base tarifaire reste celle du 27/07/2026.</x:v>
      </x:c>
      <x:c r="B15" s="85" t="str">
        <x:v>Important : les ingrédients sont des versions canoniques déduites des intitulés, et non une extraction exacte de l’application. Le coût correspond aux quantités consommées pour 4 portions. Un premier achat de pots entiers d’épices, sauces ou alcools peut coûter nettement plus. 26 recettes ont été ajoutées le 28/07/2026 ; la base tarifaire reste celle du 27/07/2026.</x:v>
      </x:c>
      <x:c r="C15" s="85" t="str">
        <x:v>Important : les ingrédients sont des versions canoniques déduites des intitulés, et non une extraction exacte de l’application. Le coût correspond aux quantités consommées pour 4 portions. Un premier achat de pots entiers d’épices, sauces ou alcools peut coûter nettement plus. 26 recettes ont été ajoutées le 28/07/2026 ; la base tarifaire reste celle du 27/07/2026.</x:v>
      </x:c>
      <x:c r="D15" s="85" t="str">
        <x:v>Important : les ingrédients sont des versions canoniques déduites des intitulés, et non une extraction exacte de l’application. Le coût correspond aux quantités consommées pour 4 portions. Un premier achat de pots entiers d’épices, sauces ou alcools peut coûter nettement plus. 26 recettes ont été ajoutées le 28/07/2026 ; la base tarifaire reste celle du 27/07/2026.</x:v>
      </x:c>
      <x:c r="E15" s="85" t="str">
        <x:v>Important : les ingrédients sont des versions canoniques déduites des intitulés, et non une extraction exacte de l’application. Le coût correspond aux quantités consommées pour 4 portions. Un premier achat de pots entiers d’épices, sauces ou alcools peut coûter nettement plus. 26 recettes ont été ajoutées le 28/07/2026 ; la base tarifaire reste celle du 27/07/2026.</x:v>
      </x:c>
      <x:c r="F15" s="85" t="str">
        <x:v>Important : les ingrédients sont des versions canoniques déduites des intitulés, et non une extraction exacte de l’application. Le coût correspond aux quantités consommées pour 4 portions. Un premier achat de pots entiers d’épices, sauces ou alcools peut coûter nettement plus. 26 recettes ont été ajoutées le 28/07/2026 ; la base tarifaire reste celle du 27/07/2026.</x:v>
      </x:c>
      <x:c r="G15" s="85" t="str">
        <x:v>Important : les ingrédients sont des versions canoniques déduites des intitulés, et non une extraction exacte de l’application. Le coût correspond aux quantités consommées pour 4 portions. Un premier achat de pots entiers d’épices, sauces ou alcools peut coûter nettement plus. 26 recettes ont été ajoutées le 28/07/2026 ; la base tarifaire reste celle du 27/07/2026.</x:v>
      </x:c>
      <x:c r="H15" s="85" t="str">
        <x:v>Important : les ingrédients sont des versions canoniques déduites des intitulés, et non une extraction exacte de l’application. Le coût correspond aux quantités consommées pour 4 portions. Un premier achat de pots entiers d’épices, sauces ou alcools peut coûter nettement plus. 26 recettes ont été ajoutées le 28/07/2026 ; la base tarifaire reste celle du 27/07/2026.</x:v>
      </x:c>
      <x:c r="I15" s="85" t="str">
        <x:v>Important : les ingrédients sont des versions canoniques déduites des intitulés, et non une extraction exacte de l’application. Le coût correspond aux quantités consommées pour 4 portions. Un premier achat de pots entiers d’épices, sauces ou alcools peut coûter nettement plus. 26 recettes ont été ajoutées le 28/07/2026 ; la base tarifaire reste celle du 27/07/2026.</x:v>
      </x:c>
    </x:row>
    <x:row r="16">
      <x:c r="A16" s="38"/>
      <x:c r="B16" s="38"/>
      <x:c r="C16" s="38"/>
      <x:c r="D16" s="38"/>
      <x:c r="E16" s="38"/>
      <x:c r="F16" s="38"/>
      <x:c r="G16" s="38"/>
      <x:c r="H16" s="38"/>
      <x:c r="I16" s="38"/>
    </x:row>
    <x:row r="17">
      <x:c r="A17" s="34" t="str">
        <x:v>Source</x:v>
      </x:c>
      <x:c r="B17" s="34" t="str">
        <x:v>URL</x:v>
      </x:c>
      <x:c r="C17" s="34" t="str">
        <x:v>Utilisation</x:v>
      </x:c>
      <x:c r="D17" s="38"/>
      <x:c r="E17" s="38"/>
      <x:c r="F17" s="38"/>
      <x:c r="G17" s="38"/>
      <x:c r="H17" s="38"/>
      <x:c r="I17" s="38"/>
    </x:row>
    <x:row r="18">
      <x:c r="A18" s="38" t="str">
        <x:v>UFC-Que Choisir — enseignes les moins chères, juin 2026</x:v>
      </x:c>
      <x:c r="B18" s="38" t="str">
        <x:v>https://www.quechoisir.org/breve-palmares-des-supermarches-les-enseignes-les-moins-cheres-n132194/</x:v>
      </x:c>
      <x:c r="C18" s="38" t="str">
        <x:v>Lidl classé le moins cher ; Leclerc +2,5 %, Aldi +4,5 %.</x:v>
      </x:c>
      <x:c r="D18" s="38"/>
      <x:c r="E18" s="38"/>
      <x:c r="F18" s="38"/>
      <x:c r="G18" s="38"/>
      <x:c r="H18" s="38"/>
      <x:c r="I18" s="38"/>
    </x:row>
    <x:row r="19">
      <x:c r="A19" s="38" t="str">
        <x:v>UFC-Que Choisir — comparaison enseignes 2025</x:v>
      </x:c>
      <x:c r="B19" s="38" t="str">
        <x:v>https://www.quechoisir.org/actualite-supermarches-lesquels-sont-vraiment-les-moins-chers-n164848/</x:v>
      </x:c>
      <x:c r="C19" s="38" t="str">
        <x:v>Carrefour et Auchan environ 10–11 % au-dessus de Lidl dans l'étude nationale.</x:v>
      </x:c>
      <x:c r="D19" s="38"/>
      <x:c r="E19" s="38"/>
      <x:c r="F19" s="38"/>
      <x:c r="G19" s="38"/>
      <x:c r="H19" s="38"/>
      <x:c r="I19" s="38"/>
    </x:row>
    <x:row r="20">
      <x:c r="A20" s="38" t="str">
        <x:v>FranceAgriMer RNM — viandes semaine 29-2026</x:v>
      </x:c>
      <x:c r="B20" s="38" t="str">
        <x:v>https://rnm.franceagrimer.fr/prix?M2501%3AMARCHE=</x:v>
      </x:c>
      <x:c r="C20" s="38" t="str">
        <x:v>Exemples : gigot d'agneau 27,05 €/kg ; steak haché 15 % 17,31 €/kg.</x:v>
      </x:c>
      <x:c r="D20" s="38"/>
      <x:c r="E20" s="38"/>
      <x:c r="F20" s="38"/>
      <x:c r="G20" s="38"/>
      <x:c r="H20" s="38"/>
      <x:c r="I20" s="38"/>
    </x:row>
    <x:row r="21">
      <x:c r="A21" s="38" t="str">
        <x:v>FranceAgriMer RNM — légumes semaine 29-2026</x:v>
      </x:c>
      <x:c r="B21" s="38" t="str">
        <x:v>https://rnm.franceagrimer.fr/prix?M2502%3AMARCHE=</x:v>
      </x:c>
      <x:c r="C21" s="38" t="str">
        <x:v>Exemple : pomme de terre primeur filet 2,5 kg autour de 1,60 €/kg.</x:v>
      </x:c>
      <x:c r="D21" s="38"/>
      <x:c r="E21" s="38"/>
      <x:c r="F21" s="38"/>
      <x:c r="G21" s="38"/>
      <x:c r="H21" s="38"/>
      <x:c r="I21" s="38"/>
    </x:row>
    <x:row r="22">
      <x:c r="A22" s="38" t="str">
        <x:v>INSEE — inflation mai 2026</x:v>
      </x:c>
      <x:c r="B22" s="38" t="str">
        <x:v>https://www.insee.fr/fr/statistiques/9006268</x:v>
      </x:c>
      <x:c r="C22" s="38" t="str">
        <x:v>Prix de l'alimentation +1,1 % sur un an en mai 2026.</x:v>
      </x:c>
      <x:c r="D22" s="38"/>
      <x:c r="E22" s="38"/>
      <x:c r="F22" s="38"/>
      <x:c r="G22" s="38"/>
      <x:c r="H22" s="38"/>
      <x:c r="I22" s="38"/>
    </x:row>
    <x:row r="23">
      <x:c r="A23" s="38" t="str">
        <x:v>Monoprix Chatou</x:v>
      </x:c>
      <x:c r="B23" s="38" t="str">
        <x:v>https://www.monoprix.fr/1934.html</x:v>
      </x:c>
      <x:c r="C23" s="38" t="str">
        <x:v>Page officielle du magasin au 3 rue de la Paroisse.</x:v>
      </x:c>
      <x:c r="D23" s="38"/>
      <x:c r="E23" s="38"/>
      <x:c r="F23" s="38"/>
      <x:c r="G23" s="38"/>
      <x:c r="H23" s="38"/>
      <x:c r="I23" s="38"/>
    </x:row>
    <x:row r="24">
      <x:c r="A24" s="38" t="str">
        <x:v>Annonce Lidl / Monoprix</x:v>
      </x:c>
      <x:c r="B24" s="38" t="str">
        <x:v>https://corporate.lidl.fr/espace-presse/communiques-de-presse/lidl-x-monoprix</x:v>
      </x:c>
      <x:c r="C24" s="38" t="str">
        <x:v>Projet de reprise du magasin de Chatou au premier semestre 2026.</x:v>
      </x:c>
      <x:c r="D24" s="38"/>
      <x:c r="E24" s="38"/>
      <x:c r="F24" s="38"/>
      <x:c r="G24" s="38"/>
      <x:c r="H24" s="38"/>
      <x:c r="I24" s="38"/>
    </x:row>
    <x:row r="25">
      <x:c r="A25" s="38"/>
      <x:c r="B25" s="38"/>
      <x:c r="C25" s="38"/>
      <x:c r="D25" s="38"/>
      <x:c r="E25" s="38"/>
      <x:c r="F25" s="38"/>
      <x:c r="G25" s="38"/>
      <x:c r="H25" s="38"/>
      <x:c r="I25" s="38"/>
    </x:row>
    <x:row r="26">
      <x:c r="A26" s="38"/>
      <x:c r="B26" s="38"/>
      <x:c r="C26" s="38"/>
      <x:c r="D26" s="38"/>
      <x:c r="E26" s="38"/>
      <x:c r="F26" s="38"/>
      <x:c r="G26" s="38"/>
      <x:c r="H26" s="38"/>
      <x:c r="I26" s="38"/>
    </x:row>
    <x:row r="27">
      <x:c r="A27" s="34" t="str">
        <x:v>Indice de spécialité</x:v>
      </x:c>
      <x:c r="B27" s="34" t="str">
        <x:v>Interprétation</x:v>
      </x:c>
      <x:c r="C27" s="38"/>
      <x:c r="D27" s="38"/>
      <x:c r="E27" s="38"/>
      <x:c r="F27" s="38"/>
      <x:c r="G27" s="38"/>
      <x:c r="H27" s="38"/>
      <x:c r="I27" s="38"/>
    </x:row>
    <x:row r="28">
      <x:c r="A28" s="38" t="n">
        <x:v>0</x:v>
      </x:c>
      <x:c r="B28" s="38" t="str">
        <x:v>Ingrédients courants, normalement disponibles partout</x:v>
      </x:c>
      <x:c r="C28" s="38"/>
      <x:c r="D28" s="38"/>
      <x:c r="E28" s="38"/>
      <x:c r="F28" s="38"/>
      <x:c r="G28" s="38"/>
      <x:c r="H28" s="38"/>
      <x:c r="I28" s="38"/>
    </x:row>
    <x:row r="29">
      <x:c r="A29" s="38" t="n">
        <x:v>1</x:v>
      </x:c>
      <x:c r="B29" s="38" t="str">
        <x:v>Produit moins courant ; Super U ou Carrefour plus fiable</x:v>
      </x:c>
      <x:c r="C29" s="38"/>
      <x:c r="D29" s="38"/>
      <x:c r="E29" s="38"/>
      <x:c r="F29" s="38"/>
      <x:c r="G29" s="38"/>
      <x:c r="H29" s="38"/>
      <x:c r="I29" s="38"/>
    </x:row>
    <x:row r="30">
      <x:c r="A30" s="38" t="n">
        <x:v>2</x:v>
      </x:c>
      <x:c r="B30" s="38" t="str">
        <x:v>Produit spécialisé ; Carrefour hypermarché recommandé</x:v>
      </x:c>
      <x:c r="C30" s="38"/>
      <x:c r="D30" s="38"/>
      <x:c r="E30" s="38"/>
      <x:c r="F30" s="38"/>
      <x:c r="G30" s="38"/>
      <x:c r="H30" s="38"/>
      <x:c r="I30" s="38"/>
    </x:row>
    <x:row r="31">
      <x:c r="A31" s="38"/>
      <x:c r="B31" s="38"/>
      <x:c r="C31" s="38"/>
      <x:c r="D31" s="38"/>
      <x:c r="E31" s="38"/>
      <x:c r="F31" s="38"/>
      <x:c r="G31" s="38"/>
      <x:c r="H31" s="38"/>
      <x:c r="I31" s="38"/>
    </x:row>
    <x:row r="32">
      <x:c r="A32" s="34" t="str">
        <x:v>Pénalité complétude</x:v>
      </x:c>
      <x:c r="B32" s="34" t="str">
        <x:v>Catégories concernées</x:v>
      </x:c>
      <x:c r="C32" s="38"/>
      <x:c r="D32" s="38"/>
      <x:c r="E32" s="38"/>
      <x:c r="F32" s="38"/>
      <x:c r="G32" s="38"/>
      <x:c r="H32" s="38"/>
      <x:c r="I32" s="38"/>
    </x:row>
    <x:row r="33">
      <x:c r="A33" s="38" t="n">
        <x:v>18</x:v>
      </x:c>
      <x:c r="B33" s="38" t="str">
        <x:v>Base, condiment, sauce</x:v>
      </x:c>
      <x:c r="C33" s="38"/>
      <x:c r="D33" s="38"/>
      <x:c r="E33" s="38"/>
      <x:c r="F33" s="38"/>
      <x:c r="G33" s="38"/>
      <x:c r="H33" s="38"/>
      <x:c r="I33" s="38"/>
    </x:row>
    <x:row r="34">
      <x:c r="A34" s="38" t="n">
        <x:v>25</x:v>
      </x:c>
      <x:c r="B34" s="38" t="str">
        <x:v>Boisson</x:v>
      </x:c>
      <x:c r="C34" s="38"/>
      <x:c r="D34" s="38"/>
      <x:c r="E34" s="38"/>
      <x:c r="F34" s="38"/>
      <x:c r="G34" s="38"/>
      <x:c r="H34" s="38"/>
      <x:c r="I34" s="38"/>
    </x:row>
    <x:row r="35">
      <x:c r="A35" s="38" t="n">
        <x:v>12</x:v>
      </x:c>
      <x:c r="B35" s="38" t="str">
        <x:v>Dessert</x:v>
      </x:c>
      <x:c r="C35" s="38"/>
      <x:c r="D35" s="38"/>
      <x:c r="E35" s="38"/>
      <x:c r="F35" s="38"/>
      <x:c r="G35" s="38"/>
      <x:c r="H35" s="38"/>
      <x:c r="I35" s="38"/>
    </x:row>
    <x:row r="36">
      <x:c r="A36" s="38" t="n">
        <x:v>8</x:v>
      </x:c>
      <x:c r="B36" s="38" t="str">
        <x:v>Accompagnement</x:v>
      </x:c>
      <x:c r="C36" s="38"/>
      <x:c r="D36" s="38"/>
      <x:c r="E36" s="38"/>
      <x:c r="F36" s="38"/>
      <x:c r="G36" s="38"/>
      <x:c r="H36" s="38"/>
      <x:c r="I36" s="38"/>
    </x:row>
    <x:row r="37">
      <x:c r="A37" s="38" t="n">
        <x:v>10</x:v>
      </x:c>
      <x:c r="B37" s="38" t="str">
        <x:v>Apéritif, tartinade, snack</x:v>
      </x:c>
      <x:c r="C37" s="38"/>
      <x:c r="D37" s="38"/>
      <x:c r="E37" s="38"/>
      <x:c r="F37" s="38"/>
      <x:c r="G37" s="38"/>
      <x:c r="H37" s="38"/>
      <x:c r="I37" s="38"/>
    </x:row>
    <x:row r="38">
      <x:c r="A38" s="38"/>
      <x:c r="B38" s="38"/>
      <x:c r="C38" s="38"/>
      <x:c r="D38" s="38"/>
      <x:c r="E38" s="38"/>
      <x:c r="F38" s="38"/>
      <x:c r="G38" s="38"/>
      <x:c r="H38" s="38"/>
      <x:c r="I38" s="38"/>
    </x:row>
    <x:row r="39">
      <x:c r="A39" s="38"/>
      <x:c r="B39" s="38"/>
      <x:c r="C39" s="38"/>
      <x:c r="D39" s="38"/>
      <x:c r="E39" s="38"/>
      <x:c r="F39" s="38"/>
      <x:c r="G39" s="38"/>
      <x:c r="H39" s="38"/>
      <x:c r="I39" s="38"/>
    </x:row>
    <x:row r="40">
      <x:c r="A40" s="38"/>
      <x:c r="B40" s="38"/>
      <x:c r="C40" s="38"/>
      <x:c r="D40" s="38"/>
      <x:c r="E40" s="38"/>
      <x:c r="F40" s="38"/>
      <x:c r="G40" s="38"/>
      <x:c r="H40" s="38"/>
      <x:c r="I40" s="38"/>
    </x:row>
  </x:sheetData>
  <x:mergeCells>
    <x:mergeCell ref="A1:F1"/>
    <x:mergeCell ref="A15:I15"/>
  </x:mergeCells>
  <x:pageMargins left="0.7" right="0.7" top="0.75" bottom="0.75" header="0.3" footer="0.3"/>
</x:worksheet>
</file>

<file path=xl/worksheets/sheet2.xml><?xml version="1.0" encoding="utf-8"?>
<x:worksheet xmlns:x="http://schemas.openxmlformats.org/spreadsheetml/2006/main">
  <x:sheetFormatPr defaultRowHeight="15"/>
  <x:cols>
    <x:col min="1" max="1" width="8" hidden="0" customWidth="1"/>
    <x:col min="2" max="2" width="37" hidden="0" customWidth="1"/>
    <x:col min="3" max="3" width="24" hidden="0" customWidth="1"/>
    <x:col min="4" max="4" width="58" hidden="0" customWidth="1"/>
    <x:col min="5" max="5" width="14" hidden="0" customWidth="1"/>
    <x:col min="6" max="6" width="14" hidden="0" customWidth="1"/>
    <x:col min="7" max="7" width="12" hidden="0" customWidth="1"/>
    <x:col min="8" max="8" width="12" hidden="0" customWidth="1"/>
    <x:col min="9" max="9" width="12"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20" hidden="0" customWidth="1"/>
    <x:col min="17" max="17" width="14" hidden="0" customWidth="1"/>
    <x:col min="18" max="18" width="14" hidden="0" customWidth="1"/>
    <x:col min="19" max="19" width="17" hidden="0" customWidth="1"/>
    <x:col min="20" max="20" width="13" hidden="0" customWidth="1"/>
  </x:cols>
  <x:sheetData>
    <x:row r="1" ht="30" customHeight="1">
      <x:c r="A1" s="5" t="str">
        <x:v>Classement global</x:v>
      </x:c>
      <x:c r="B1" s="5"/>
      <x:c r="C1" s="5"/>
      <x:c r="D1" s="5"/>
      <x:c r="E1" s="5"/>
      <x:c r="F1" s="5"/>
      <x:c r="G1" s="5"/>
      <x:c r="H1" s="5"/>
      <x:c r="I1" s="5"/>
      <x:c r="J1" s="5"/>
      <x:c r="K1" s="5"/>
      <x:c r="L1" s="5"/>
      <x:c r="M1" s="5"/>
      <x:c r="N1" s="5"/>
      <x:c r="O1" s="5"/>
      <x:c r="P1" s="5"/>
      <x:c r="Q1" s="5"/>
      <x:c r="R1" s="5"/>
      <x:c r="S1" s="5"/>
      <x:c r="T1" s="5"/>
    </x:row>
    <x:row r="2" ht="32" customHeight="1">
      <x:c r="A2" s="26" t="str">
        <x:v>Coûts estimés pour 4 portions. Le magasin recommandé combine prix et probabilité de trouver les ingrédients.</x:v>
      </x:c>
      <x:c r="B2" s="26"/>
      <x:c r="C2" s="26"/>
      <x:c r="D2" s="26"/>
      <x:c r="E2" s="26"/>
      <x:c r="F2" s="26"/>
      <x:c r="G2" s="26"/>
      <x:c r="H2" s="26"/>
      <x:c r="I2" s="26"/>
      <x:c r="J2" s="26"/>
      <x:c r="K2" s="26"/>
      <x:c r="L2" s="26"/>
      <x:c r="M2" s="26"/>
      <x:c r="N2" s="26"/>
      <x:c r="O2" s="26"/>
      <x:c r="P2" s="26"/>
      <x:c r="Q2" s="26"/>
      <x:c r="R2" s="26"/>
      <x:c r="S2" s="26"/>
      <x:c r="T2" s="26"/>
    </x:row>
    <x:row r="4" ht="38" customHeight="1">
      <x:c r="A4" s="83" t="str">
        <x:v>Rang</x:v>
      </x:c>
      <x:c r="B4" s="83" t="str">
        <x:v>Recette</x:v>
      </x:c>
      <x:c r="C4" s="83" t="str">
        <x:v>Catégorie</x:v>
      </x:c>
      <x:c r="D4" s="83" t="str">
        <x:v>Ingrédients principaux estimés</x:v>
      </x:c>
      <x:c r="E4" s="83" t="str">
        <x:v>Préparation active (min)</x:v>
      </x:c>
      <x:c r="F4" s="83" t="str">
        <x:v>Temps total (min)</x:v>
      </x:c>
      <x:c r="G4" s="83" t="str">
        <x:v>Satiété estimée /5</x:v>
      </x:c>
      <x:c r="H4" s="83" t="str">
        <x:v>Équilibre /5</x:v>
      </x:c>
      <x:c r="I4" s="83" t="str">
        <x:v>Spécialité 0–2</x:v>
      </x:c>
      <x:c r="J4" s="83" t="str">
        <x:v>Base Lidl estimée</x:v>
      </x:c>
      <x:c r="K4" s="83" t="str">
        <x:v>Lidl</x:v>
      </x:c>
      <x:c r="L4" s="83" t="str">
        <x:v>Super U</x:v>
      </x:c>
      <x:c r="M4" s="83" t="str">
        <x:v>Carrefour</x:v>
      </x:c>
      <x:c r="N4" s="83" t="str">
        <x:v>Auchan</x:v>
      </x:c>
      <x:c r="O4" s="83" t="str">
        <x:v>Monoprix</x:v>
      </x:c>
      <x:c r="P4" s="83" t="str">
        <x:v>Enseigne recommandée</x:v>
      </x:c>
      <x:c r="Q4" s="83" t="str">
        <x:v>Coût recommandé</x:v>
      </x:c>
      <x:c r="R4" s="83" t="str">
        <x:v>Coût / portion</x:v>
      </x:c>
      <x:c r="S4" s="83" t="str">
        <x:v>Score qualité-prix /100</x:v>
      </x:c>
      <x:c r="T4" s="83" t="str">
        <x:v>Pénalité complétude</x:v>
      </x:c>
    </x:row>
    <x:row r="5">
      <x:c r="A5" s="33" t="n">
        <x:v>1</x:v>
      </x:c>
      <x:c r="B5" s="38" t="str">
        <x:v>Israeli couscous and lentils</x:v>
      </x:c>
      <x:c r="C5" s="38" t="str">
        <x:v>Céréales / légumineuses</x:v>
      </x:c>
      <x:c r="D5" s="38" t="str">
        <x:v>couscous perlé, lentilles, oignon, carotte, bouillon, herbes</x:v>
      </x:c>
      <x:c r="E5" s="33" t="n">
        <x:v>15</x:v>
      </x:c>
      <x:c r="F5" s="33" t="n">
        <x:v>35</x:v>
      </x:c>
      <x:c r="G5" s="56" t="n">
        <x:v>4.5</x:v>
      </x:c>
      <x:c r="H5" s="56" t="n">
        <x:v>4.6</x:v>
      </x:c>
      <x:c r="I5" s="33" t="n">
        <x:v>1</x:v>
      </x:c>
      <x:c r="J5" s="57" t="n">
        <x:v>5.2</x:v>
      </x:c>
      <x:c r="K5" s="57" t="n">
        <x:f>J5*'Hypothèses &amp; sources'!$E$4</x:f>
        <x:v>5.2</x:v>
      </x:c>
      <x:c r="L5" s="57" t="n">
        <x:f>J5*'Hypothèses &amp; sources'!$F$4</x:f>
        <x:v>5.5120000000000005</x:v>
      </x:c>
      <x:c r="M5" s="57" t="n">
        <x:f>J5*'Hypothèses &amp; sources'!$G$4</x:f>
        <x:v>5.720000000000001</x:v>
      </x:c>
      <x:c r="N5" s="57" t="n">
        <x:f>J5*'Hypothèses &amp; sources'!$H$4</x:f>
        <x:v>5.772000000000001</x:v>
      </x:c>
      <x:c r="O5" s="57" t="n">
        <x:f>J5*'Hypothèses &amp; sources'!$I$4</x:f>
        <x:v>6.448</x:v>
      </x:c>
      <x:c r="P5" s="57" t="str">
        <x:v>Super U</x:v>
      </x:c>
      <x:c r="Q5" s="57" t="n">
        <x:f>IF(P5="Lidl",K5,IF(P5="Super U",L5,IF(P5="Carrefour",M5,IF(P5="Auchan",N5,O5))))</x:f>
        <x:v>5.5120000000000005</x:v>
      </x:c>
      <x:c r="R5" s="57" t="n">
        <x:f>Q5/'Hypothèses &amp; sources'!$B$4</x:f>
        <x:v>1.3780000000000001</x:v>
      </x:c>
      <x:c r="S5" s="56" t="n">
        <x:f>MAX(0,'Hypothèses &amp; sources'!$B$5*MAX(0,MIN(100,'Hypothèses &amp; sources'!$B$10-R5*'Hypothèses &amp; sources'!$B$9))+'Hypothèses &amp; sources'!$B$6*(G5/5*100)+'Hypothèses &amp; sources'!$B$7*(H5/5*100)+'Hypothèses &amp; sources'!$B$8*MAX(0,MIN(100,'Hypothèses &amp; sources'!$B$12-E5*'Hypothèses &amp; sources'!$B$11))-T5)</x:f>
        <x:v>90.25488</x:v>
      </x:c>
      <x:c r="T5" s="33" t="n">
        <x:v>0</x:v>
      </x:c>
    </x:row>
    <x:row r="6">
      <x:c r="A6" s="33" t="n">
        <x:v>2</x:v>
      </x:c>
      <x:c r="B6" s="38" t="str">
        <x:v>Chickpea orzo soup</x:v>
      </x:c>
      <x:c r="C6" s="38" t="str">
        <x:v>Soupe / bouillon</x:v>
      </x:c>
      <x:c r="D6" s="38" t="str">
        <x:v>bouillon, oignon, pâtes / nouilles, légumineuses</x:v>
      </x:c>
      <x:c r="E6" s="33" t="n">
        <x:v>15</x:v>
      </x:c>
      <x:c r="F6" s="33" t="n">
        <x:v>35</x:v>
      </x:c>
      <x:c r="G6" s="56" t="n">
        <x:v>4.3</x:v>
      </x:c>
      <x:c r="H6" s="56" t="n">
        <x:v>3.8</x:v>
      </x:c>
      <x:c r="I6" s="33" t="n">
        <x:v>0</x:v>
      </x:c>
      <x:c r="J6" s="57" t="n">
        <x:v>4.5</x:v>
      </x:c>
      <x:c r="K6" s="57" t="n">
        <x:f>J6*'Hypothèses &amp; sources'!$E$4</x:f>
        <x:v>4.5</x:v>
      </x:c>
      <x:c r="L6" s="57" t="n">
        <x:f>J6*'Hypothèses &amp; sources'!$F$4</x:f>
        <x:v>4.7700000000000005</x:v>
      </x:c>
      <x:c r="M6" s="57" t="n">
        <x:f>J6*'Hypothèses &amp; sources'!$G$4</x:f>
        <x:v>4.95</x:v>
      </x:c>
      <x:c r="N6" s="57" t="n">
        <x:f>J6*'Hypothèses &amp; sources'!$H$4</x:f>
        <x:v>4.995</x:v>
      </x:c>
      <x:c r="O6" s="57" t="n">
        <x:f>J6*'Hypothèses &amp; sources'!$I$4</x:f>
        <x:v>5.58</x:v>
      </x:c>
      <x:c r="P6" s="57" t="str">
        <x:v>Lidl</x:v>
      </x:c>
      <x:c r="Q6" s="57" t="n">
        <x:f>IF(P6="Lidl",K6,IF(P6="Super U",L6,IF(P6="Carrefour",M6,IF(P6="Auchan",N6,O6))))</x:f>
        <x:v>4.5</x:v>
      </x:c>
      <x:c r="R6" s="57" t="n">
        <x:f>Q6/'Hypothèses &amp; sources'!$B$4</x:f>
        <x:v>1.125</x:v>
      </x:c>
      <x:c r="S6" s="56" t="n">
        <x:f>MAX(0,'Hypothèses &amp; sources'!$B$5*MAX(0,MIN(100,'Hypothèses &amp; sources'!$B$10-R6*'Hypothèses &amp; sources'!$B$9))+'Hypothèses &amp; sources'!$B$6*(G6/5*100)+'Hypothèses &amp; sources'!$B$7*(H6/5*100)+'Hypothèses &amp; sources'!$B$8*MAX(0,MIN(100,'Hypothèses &amp; sources'!$B$12-E6*'Hypothèses &amp; sources'!$B$11))-T6)</x:f>
        <x:v>87.52999999999999</x:v>
      </x:c>
      <x:c r="T6" s="33" t="n">
        <x:v>0</x:v>
      </x:c>
    </x:row>
    <x:row r="7">
      <x:c r="A7" s="33" t="n">
        <x:v>3</x:v>
      </x:c>
      <x:c r="B7" s="38" t="str">
        <x:v>Mujadara/lentils and rice</x:v>
      </x:c>
      <x:c r="C7" s="38" t="str">
        <x:v>Plat complet</x:v>
      </x:c>
      <x:c r="D7" s="38" t="str">
        <x:v>riz, légumineuses</x:v>
      </x:c>
      <x:c r="E7" s="33" t="n">
        <x:v>20</x:v>
      </x:c>
      <x:c r="F7" s="33" t="n">
        <x:v>40</x:v>
      </x:c>
      <x:c r="G7" s="56" t="n">
        <x:v>4.4</x:v>
      </x:c>
      <x:c r="H7" s="56" t="n">
        <x:v>3.6</x:v>
      </x:c>
      <x:c r="I7" s="33" t="n">
        <x:v>0</x:v>
      </x:c>
      <x:c r="J7" s="57" t="n">
        <x:v>3.2</x:v>
      </x:c>
      <x:c r="K7" s="57" t="n">
        <x:f>J7*'Hypothèses &amp; sources'!$E$4</x:f>
        <x:v>3.2</x:v>
      </x:c>
      <x:c r="L7" s="57" t="n">
        <x:f>J7*'Hypothèses &amp; sources'!$F$4</x:f>
        <x:v>3.3920000000000003</x:v>
      </x:c>
      <x:c r="M7" s="57" t="n">
        <x:f>J7*'Hypothèses &amp; sources'!$G$4</x:f>
        <x:v>3.5200000000000005</x:v>
      </x:c>
      <x:c r="N7" s="57" t="n">
        <x:f>J7*'Hypothèses &amp; sources'!$H$4</x:f>
        <x:v>3.5520000000000005</x:v>
      </x:c>
      <x:c r="O7" s="57" t="n">
        <x:f>J7*'Hypothèses &amp; sources'!$I$4</x:f>
        <x:v>3.968</x:v>
      </x:c>
      <x:c r="P7" s="57" t="str">
        <x:v>Lidl</x:v>
      </x:c>
      <x:c r="Q7" s="57" t="n">
        <x:f>IF(P7="Lidl",K7,IF(P7="Super U",L7,IF(P7="Carrefour",M7,IF(P7="Auchan",N7,O7))))</x:f>
        <x:v>3.2</x:v>
      </x:c>
      <x:c r="R7" s="57" t="n">
        <x:f>Q7/'Hypothèses &amp; sources'!$B$4</x:f>
        <x:v>0.8</x:v>
      </x:c>
      <x:c r="S7" s="56" t="n">
        <x:f>MAX(0,'Hypothèses &amp; sources'!$B$5*MAX(0,MIN(100,'Hypothèses &amp; sources'!$B$10-R7*'Hypothèses &amp; sources'!$B$9))+'Hypothèses &amp; sources'!$B$6*(G7/5*100)+'Hypothèses &amp; sources'!$B$7*(H7/5*100)+'Hypothèses &amp; sources'!$B$8*MAX(0,MIN(100,'Hypothèses &amp; sources'!$B$12-E7*'Hypothèses &amp; sources'!$B$11))-T7)</x:f>
        <x:v>87.52000000000001</x:v>
      </x:c>
      <x:c r="T7" s="33" t="n">
        <x:v>0</x:v>
      </x:c>
    </x:row>
    <x:row r="8">
      <x:c r="A8" s="33" t="n">
        <x:v>4</x:v>
      </x:c>
      <x:c r="B8" s="38" t="str">
        <x:v>Riz et haricots</x:v>
      </x:c>
      <x:c r="C8" s="38" t="str">
        <x:v>Plat complet</x:v>
      </x:c>
      <x:c r="D8" s="38" t="str">
        <x:v>riz, légumineuses</x:v>
      </x:c>
      <x:c r="E8" s="33" t="n">
        <x:v>20</x:v>
      </x:c>
      <x:c r="F8" s="33" t="n">
        <x:v>40</x:v>
      </x:c>
      <x:c r="G8" s="56" t="n">
        <x:v>4.4</x:v>
      </x:c>
      <x:c r="H8" s="56" t="n">
        <x:v>3.6</x:v>
      </x:c>
      <x:c r="I8" s="33" t="n">
        <x:v>0</x:v>
      </x:c>
      <x:c r="J8" s="57" t="n">
        <x:v>3.2</x:v>
      </x:c>
      <x:c r="K8" s="57" t="n">
        <x:f>J8*'Hypothèses &amp; sources'!$E$4</x:f>
        <x:v>3.2</x:v>
      </x:c>
      <x:c r="L8" s="57" t="n">
        <x:f>J8*'Hypothèses &amp; sources'!$F$4</x:f>
        <x:v>3.3920000000000003</x:v>
      </x:c>
      <x:c r="M8" s="57" t="n">
        <x:f>J8*'Hypothèses &amp; sources'!$G$4</x:f>
        <x:v>3.5200000000000005</x:v>
      </x:c>
      <x:c r="N8" s="57" t="n">
        <x:f>J8*'Hypothèses &amp; sources'!$H$4</x:f>
        <x:v>3.5520000000000005</x:v>
      </x:c>
      <x:c r="O8" s="57" t="n">
        <x:f>J8*'Hypothèses &amp; sources'!$I$4</x:f>
        <x:v>3.968</x:v>
      </x:c>
      <x:c r="P8" s="57" t="str">
        <x:v>Lidl</x:v>
      </x:c>
      <x:c r="Q8" s="57" t="n">
        <x:f>IF(P8="Lidl",K8,IF(P8="Super U",L8,IF(P8="Carrefour",M8,IF(P8="Auchan",N8,O8))))</x:f>
        <x:v>3.2</x:v>
      </x:c>
      <x:c r="R8" s="57" t="n">
        <x:f>Q8/'Hypothèses &amp; sources'!$B$4</x:f>
        <x:v>0.8</x:v>
      </x:c>
      <x:c r="S8" s="56" t="n">
        <x:f>MAX(0,'Hypothèses &amp; sources'!$B$5*MAX(0,MIN(100,'Hypothèses &amp; sources'!$B$10-R8*'Hypothèses &amp; sources'!$B$9))+'Hypothèses &amp; sources'!$B$6*(G8/5*100)+'Hypothèses &amp; sources'!$B$7*(H8/5*100)+'Hypothèses &amp; sources'!$B$8*MAX(0,MIN(100,'Hypothèses &amp; sources'!$B$12-E8*'Hypothèses &amp; sources'!$B$11))-T8)</x:f>
        <x:v>87.52000000000001</x:v>
      </x:c>
      <x:c r="T8" s="33" t="n">
        <x:v>0</x:v>
      </x:c>
    </x:row>
    <x:row r="9">
      <x:c r="A9" s="33" t="n">
        <x:v>5</x:v>
      </x:c>
      <x:c r="B9" s="38" t="str">
        <x:v>Soupe aux haricots noirs et aux jeunes pousses</x:v>
      </x:c>
      <x:c r="C9" s="38" t="str">
        <x:v>Soupe / bouillon</x:v>
      </x:c>
      <x:c r="D9" s="38" t="str">
        <x:v>bouillon, oignon, légumineuses</x:v>
      </x:c>
      <x:c r="E9" s="33" t="n">
        <x:v>15</x:v>
      </x:c>
      <x:c r="F9" s="33" t="n">
        <x:v>35</x:v>
      </x:c>
      <x:c r="G9" s="56" t="n">
        <x:v>4</x:v>
      </x:c>
      <x:c r="H9" s="56" t="n">
        <x:v>3.8</x:v>
      </x:c>
      <x:c r="I9" s="33" t="n">
        <x:v>0</x:v>
      </x:c>
      <x:c r="J9" s="57" t="n">
        <x:v>3.4</x:v>
      </x:c>
      <x:c r="K9" s="57" t="n">
        <x:f>J9*'Hypothèses &amp; sources'!$E$4</x:f>
        <x:v>3.4</x:v>
      </x:c>
      <x:c r="L9" s="57" t="n">
        <x:f>J9*'Hypothèses &amp; sources'!$F$4</x:f>
        <x:v>3.604</x:v>
      </x:c>
      <x:c r="M9" s="57" t="n">
        <x:f>J9*'Hypothèses &amp; sources'!$G$4</x:f>
        <x:v>3.74</x:v>
      </x:c>
      <x:c r="N9" s="57" t="n">
        <x:f>J9*'Hypothèses &amp; sources'!$H$4</x:f>
        <x:v>3.774</x:v>
      </x:c>
      <x:c r="O9" s="57" t="n">
        <x:f>J9*'Hypothèses &amp; sources'!$I$4</x:f>
        <x:v>4.216</x:v>
      </x:c>
      <x:c r="P9" s="57" t="str">
        <x:v>Lidl</x:v>
      </x:c>
      <x:c r="Q9" s="57" t="n">
        <x:f>IF(P9="Lidl",K9,IF(P9="Super U",L9,IF(P9="Carrefour",M9,IF(P9="Auchan",N9,O9))))</x:f>
        <x:v>3.4</x:v>
      </x:c>
      <x:c r="R9" s="57" t="n">
        <x:f>Q9/'Hypothèses &amp; sources'!$B$4</x:f>
        <x:v>0.85</x:v>
      </x:c>
      <x:c r="S9" s="56" t="n">
        <x:f>MAX(0,'Hypothèses &amp; sources'!$B$5*MAX(0,MIN(100,'Hypothèses &amp; sources'!$B$10-R9*'Hypothèses &amp; sources'!$B$9))+'Hypothèses &amp; sources'!$B$6*(G9/5*100)+'Hypothèses &amp; sources'!$B$7*(H9/5*100)+'Hypothèses &amp; sources'!$B$8*MAX(0,MIN(100,'Hypothèses &amp; sources'!$B$12-E9*'Hypothèses &amp; sources'!$B$11))-T9)</x:f>
        <x:v>87.236</x:v>
      </x:c>
      <x:c r="T9" s="33" t="n">
        <x:v>0</x:v>
      </x:c>
    </x:row>
    <x:row r="10">
      <x:c r="A10" s="33" t="n">
        <x:v>6</x:v>
      </x:c>
      <x:c r="B10" s="38" t="str">
        <x:v>Turkish red lentil soup</x:v>
      </x:c>
      <x:c r="C10" s="38" t="str">
        <x:v>Soupe / bouillon</x:v>
      </x:c>
      <x:c r="D10" s="38" t="str">
        <x:v>bouillon, oignon, légumineuses</x:v>
      </x:c>
      <x:c r="E10" s="33" t="n">
        <x:v>15</x:v>
      </x:c>
      <x:c r="F10" s="33" t="n">
        <x:v>35</x:v>
      </x:c>
      <x:c r="G10" s="56" t="n">
        <x:v>4</x:v>
      </x:c>
      <x:c r="H10" s="56" t="n">
        <x:v>3.8</x:v>
      </x:c>
      <x:c r="I10" s="33" t="n">
        <x:v>0</x:v>
      </x:c>
      <x:c r="J10" s="57" t="n">
        <x:v>3.4</x:v>
      </x:c>
      <x:c r="K10" s="57" t="n">
        <x:f>J10*'Hypothèses &amp; sources'!$E$4</x:f>
        <x:v>3.4</x:v>
      </x:c>
      <x:c r="L10" s="57" t="n">
        <x:f>J10*'Hypothèses &amp; sources'!$F$4</x:f>
        <x:v>3.604</x:v>
      </x:c>
      <x:c r="M10" s="57" t="n">
        <x:f>J10*'Hypothèses &amp; sources'!$G$4</x:f>
        <x:v>3.74</x:v>
      </x:c>
      <x:c r="N10" s="57" t="n">
        <x:f>J10*'Hypothèses &amp; sources'!$H$4</x:f>
        <x:v>3.774</x:v>
      </x:c>
      <x:c r="O10" s="57" t="n">
        <x:f>J10*'Hypothèses &amp; sources'!$I$4</x:f>
        <x:v>4.216</x:v>
      </x:c>
      <x:c r="P10" s="57" t="str">
        <x:v>Lidl</x:v>
      </x:c>
      <x:c r="Q10" s="57" t="n">
        <x:f>IF(P10="Lidl",K10,IF(P10="Super U",L10,IF(P10="Carrefour",M10,IF(P10="Auchan",N10,O10))))</x:f>
        <x:v>3.4</x:v>
      </x:c>
      <x:c r="R10" s="57" t="n">
        <x:f>Q10/'Hypothèses &amp; sources'!$B$4</x:f>
        <x:v>0.85</x:v>
      </x:c>
      <x:c r="S10" s="56" t="n">
        <x:f>MAX(0,'Hypothèses &amp; sources'!$B$5*MAX(0,MIN(100,'Hypothèses &amp; sources'!$B$10-R10*'Hypothèses &amp; sources'!$B$9))+'Hypothèses &amp; sources'!$B$6*(G10/5*100)+'Hypothèses &amp; sources'!$B$7*(H10/5*100)+'Hypothèses &amp; sources'!$B$8*MAX(0,MIN(100,'Hypothèses &amp; sources'!$B$12-E10*'Hypothèses &amp; sources'!$B$11))-T10)</x:f>
        <x:v>87.236</x:v>
      </x:c>
      <x:c r="T10" s="33" t="n">
        <x:v>0</x:v>
      </x:c>
    </x:row>
    <x:row r="11">
      <x:c r="A11" s="33" t="n">
        <x:v>7</x:v>
      </x:c>
      <x:c r="B11" s="38" t="str">
        <x:v>Quick chicken and bean stew</x:v>
      </x:c>
      <x:c r="C11" s="38" t="str">
        <x:v>Mijoté / poulet</x:v>
      </x:c>
      <x:c r="D11" s="38" t="str">
        <x:v>poulet, haricots blancs, tomates, oignon, carotte, bouillon</x:v>
      </x:c>
      <x:c r="E11" s="33" t="n">
        <x:v>15</x:v>
      </x:c>
      <x:c r="F11" s="33" t="n">
        <x:v>35</x:v>
      </x:c>
      <x:c r="G11" s="56" t="n">
        <x:v>4.8</x:v>
      </x:c>
      <x:c r="H11" s="56" t="n">
        <x:v>4.5</x:v>
      </x:c>
      <x:c r="I11" s="33" t="n">
        <x:v>0</x:v>
      </x:c>
      <x:c r="J11" s="57" t="n">
        <x:v>9.5</x:v>
      </x:c>
      <x:c r="K11" s="57" t="n">
        <x:f>J11*'Hypothèses &amp; sources'!$E$4</x:f>
        <x:v>9.5</x:v>
      </x:c>
      <x:c r="L11" s="57" t="n">
        <x:f>J11*'Hypothèses &amp; sources'!$F$4</x:f>
        <x:v>10.07</x:v>
      </x:c>
      <x:c r="M11" s="57" t="n">
        <x:f>J11*'Hypothèses &amp; sources'!$G$4</x:f>
        <x:v>10.450000000000001</x:v>
      </x:c>
      <x:c r="N11" s="57" t="n">
        <x:f>J11*'Hypothèses &amp; sources'!$H$4</x:f>
        <x:v>10.545000000000002</x:v>
      </x:c>
      <x:c r="O11" s="57" t="n">
        <x:f>J11*'Hypothèses &amp; sources'!$I$4</x:f>
        <x:v>11.78</x:v>
      </x:c>
      <x:c r="P11" s="57" t="str">
        <x:v>Lidl</x:v>
      </x:c>
      <x:c r="Q11" s="57" t="n">
        <x:f>IF(P11="Lidl",K11,IF(P11="Super U",L11,IF(P11="Carrefour",M11,IF(P11="Auchan",N11,O11))))</x:f>
        <x:v>9.5</x:v>
      </x:c>
      <x:c r="R11" s="57" t="n">
        <x:f>Q11/'Hypothèses &amp; sources'!$B$4</x:f>
        <x:v>2.375</x:v>
      </x:c>
      <x:c r="S11" s="56" t="n">
        <x:f>MAX(0,'Hypothèses &amp; sources'!$B$5*MAX(0,MIN(100,'Hypothèses &amp; sources'!$B$10-R11*'Hypothèses &amp; sources'!$B$9))+'Hypothèses &amp; sources'!$B$6*(G11/5*100)+'Hypothèses &amp; sources'!$B$7*(H11/5*100)+'Hypothèses &amp; sources'!$B$8*MAX(0,MIN(100,'Hypothèses &amp; sources'!$B$12-E11*'Hypothèses &amp; sources'!$B$11))-T11)</x:f>
        <x:v>86.55</x:v>
      </x:c>
      <x:c r="T11" s="33" t="n">
        <x:v>0</x:v>
      </x:c>
    </x:row>
    <x:row r="12">
      <x:c r="A12" s="33" t="n">
        <x:v>8</x:v>
      </x:c>
      <x:c r="B12" s="38" t="str">
        <x:v>Split pea soup with harissa</x:v>
      </x:c>
      <x:c r="C12" s="38" t="str">
        <x:v>Soupe / bouillon</x:v>
      </x:c>
      <x:c r="D12" s="38" t="str">
        <x:v>bouillon, oignon, légumineuses, harissa</x:v>
      </x:c>
      <x:c r="E12" s="33" t="n">
        <x:v>15</x:v>
      </x:c>
      <x:c r="F12" s="33" t="n">
        <x:v>35</x:v>
      </x:c>
      <x:c r="G12" s="56" t="n">
        <x:v>4</x:v>
      </x:c>
      <x:c r="H12" s="56" t="n">
        <x:v>3.8</x:v>
      </x:c>
      <x:c r="I12" s="33" t="n">
        <x:v>1</x:v>
      </x:c>
      <x:c r="J12" s="57" t="n">
        <x:v>4.2</x:v>
      </x:c>
      <x:c r="K12" s="57" t="n">
        <x:f>J12*'Hypothèses &amp; sources'!$E$4</x:f>
        <x:v>4.2</x:v>
      </x:c>
      <x:c r="L12" s="57" t="n">
        <x:f>J12*'Hypothèses &amp; sources'!$F$4</x:f>
        <x:v>4.452000000000001</x:v>
      </x:c>
      <x:c r="M12" s="57" t="n">
        <x:f>J12*'Hypothèses &amp; sources'!$G$4</x:f>
        <x:v>4.620000000000001</x:v>
      </x:c>
      <x:c r="N12" s="57" t="n">
        <x:f>J12*'Hypothèses &amp; sources'!$H$4</x:f>
        <x:v>4.662000000000001</x:v>
      </x:c>
      <x:c r="O12" s="57" t="n">
        <x:f>J12*'Hypothèses &amp; sources'!$I$4</x:f>
        <x:v>5.208</x:v>
      </x:c>
      <x:c r="P12" s="57" t="str">
        <x:v>Super U</x:v>
      </x:c>
      <x:c r="Q12" s="57" t="n">
        <x:f>IF(P12="Lidl",K12,IF(P12="Super U",L12,IF(P12="Carrefour",M12,IF(P12="Auchan",N12,O12))))</x:f>
        <x:v>4.452000000000001</x:v>
      </x:c>
      <x:c r="R12" s="57" t="n">
        <x:f>Q12/'Hypothèses &amp; sources'!$B$4</x:f>
        <x:v>1.1130000000000002</x:v>
      </x:c>
      <x:c r="S12" s="56" t="n">
        <x:f>MAX(0,'Hypothèses &amp; sources'!$B$5*MAX(0,MIN(100,'Hypothèses &amp; sources'!$B$10-R12*'Hypothèses &amp; sources'!$B$9))+'Hypothèses &amp; sources'!$B$6*(G12/5*100)+'Hypothèses &amp; sources'!$B$7*(H12/5*100)+'Hypothèses &amp; sources'!$B$8*MAX(0,MIN(100,'Hypothèses &amp; sources'!$B$12-E12*'Hypothèses &amp; sources'!$B$11))-T12)</x:f>
        <x:v>85.91047999999999</x:v>
      </x:c>
      <x:c r="T12" s="33" t="n">
        <x:v>0</x:v>
      </x:c>
    </x:row>
    <x:row r="13">
      <x:c r="A13" s="33" t="n">
        <x:v>9</x:v>
      </x:c>
      <x:c r="B13" s="38" t="str">
        <x:v>Vegan bolognese</x:v>
      </x:c>
      <x:c r="C13" s="38" t="str">
        <x:v>Pâtes / végétarien</x:v>
      </x:c>
      <x:c r="D13" s="38" t="str">
        <x:v>lentilles ou protéines végétales, tomates, carotte, céleri, oignon, pâtes</x:v>
      </x:c>
      <x:c r="E13" s="33" t="n">
        <x:v>20</x:v>
      </x:c>
      <x:c r="F13" s="33" t="n">
        <x:v>45</x:v>
      </x:c>
      <x:c r="G13" s="56" t="n">
        <x:v>4.3</x:v>
      </x:c>
      <x:c r="H13" s="56" t="n">
        <x:v>4.5</x:v>
      </x:c>
      <x:c r="I13" s="33" t="n">
        <x:v>0</x:v>
      </x:c>
      <x:c r="J13" s="57" t="n">
        <x:v>6.8</x:v>
      </x:c>
      <x:c r="K13" s="57" t="n">
        <x:f>J13*'Hypothèses &amp; sources'!$E$4</x:f>
        <x:v>6.8</x:v>
      </x:c>
      <x:c r="L13" s="57" t="n">
        <x:f>J13*'Hypothèses &amp; sources'!$F$4</x:f>
        <x:v>7.208</x:v>
      </x:c>
      <x:c r="M13" s="57" t="n">
        <x:f>J13*'Hypothèses &amp; sources'!$G$4</x:f>
        <x:v>7.48</x:v>
      </x:c>
      <x:c r="N13" s="57" t="n">
        <x:f>J13*'Hypothèses &amp; sources'!$H$4</x:f>
        <x:v>7.548</x:v>
      </x:c>
      <x:c r="O13" s="57" t="n">
        <x:f>J13*'Hypothèses &amp; sources'!$I$4</x:f>
        <x:v>8.432</x:v>
      </x:c>
      <x:c r="P13" s="57" t="str">
        <x:v>Lidl</x:v>
      </x:c>
      <x:c r="Q13" s="57" t="n">
        <x:f>IF(P13="Lidl",K13,IF(P13="Super U",L13,IF(P13="Carrefour",M13,IF(P13="Auchan",N13,O13))))</x:f>
        <x:v>6.8</x:v>
      </x:c>
      <x:c r="R13" s="57" t="n">
        <x:f>Q13/'Hypothèses &amp; sources'!$B$4</x:f>
        <x:v>1.7</x:v>
      </x:c>
      <x:c r="S13" s="56" t="n">
        <x:f>MAX(0,'Hypothèses &amp; sources'!$B$5*MAX(0,MIN(100,'Hypothèses &amp; sources'!$B$10-R13*'Hypothèses &amp; sources'!$B$9))+'Hypothèses &amp; sources'!$B$6*(G13/5*100)+'Hypothèses &amp; sources'!$B$7*(H13/5*100)+'Hypothèses &amp; sources'!$B$8*MAX(0,MIN(100,'Hypothèses &amp; sources'!$B$12-E13*'Hypothèses &amp; sources'!$B$11))-T13)</x:f>
        <x:v>85.83200000000001</x:v>
      </x:c>
      <x:c r="T13" s="33" t="n">
        <x:v>0</x:v>
      </x:c>
    </x:row>
    <x:row r="14">
      <x:c r="A14" s="33" t="n">
        <x:v>10</x:v>
      </x:c>
      <x:c r="B14" s="38" t="str">
        <x:v>Easy chicken and rice</x:v>
      </x:c>
      <x:c r="C14" s="38" t="str">
        <x:v>Plat complet</x:v>
      </x:c>
      <x:c r="D14" s="38" t="str">
        <x:v>poulet, riz, bouillon, oignon, carotte, petits pois</x:v>
      </x:c>
      <x:c r="E14" s="33" t="n">
        <x:v>10</x:v>
      </x:c>
      <x:c r="F14" s="33" t="n">
        <x:v>35</x:v>
      </x:c>
      <x:c r="G14" s="56" t="n">
        <x:v>4.6</x:v>
      </x:c>
      <x:c r="H14" s="56" t="n">
        <x:v>4</x:v>
      </x:c>
      <x:c r="I14" s="33" t="n">
        <x:v>0</x:v>
      </x:c>
      <x:c r="J14" s="57" t="n">
        <x:v>8.8</x:v>
      </x:c>
      <x:c r="K14" s="57" t="n">
        <x:f>J14*'Hypothèses &amp; sources'!$E$4</x:f>
        <x:v>8.8</x:v>
      </x:c>
      <x:c r="L14" s="57" t="n">
        <x:f>J14*'Hypothèses &amp; sources'!$F$4</x:f>
        <x:v>9.328000000000001</x:v>
      </x:c>
      <x:c r="M14" s="57" t="n">
        <x:f>J14*'Hypothèses &amp; sources'!$G$4</x:f>
        <x:v>9.680000000000001</x:v>
      </x:c>
      <x:c r="N14" s="57" t="n">
        <x:f>J14*'Hypothèses &amp; sources'!$H$4</x:f>
        <x:v>9.768000000000002</x:v>
      </x:c>
      <x:c r="O14" s="57" t="n">
        <x:f>J14*'Hypothèses &amp; sources'!$I$4</x:f>
        <x:v>10.912</x:v>
      </x:c>
      <x:c r="P14" s="57" t="str">
        <x:v>Lidl</x:v>
      </x:c>
      <x:c r="Q14" s="57" t="n">
        <x:f>IF(P14="Lidl",K14,IF(P14="Super U",L14,IF(P14="Carrefour",M14,IF(P14="Auchan",N14,O14))))</x:f>
        <x:v>8.8</x:v>
      </x:c>
      <x:c r="R14" s="57" t="n">
        <x:f>Q14/'Hypothèses &amp; sources'!$B$4</x:f>
        <x:v>2.2</x:v>
      </x:c>
      <x:c r="S14" s="56" t="n">
        <x:f>MAX(0,'Hypothèses &amp; sources'!$B$5*MAX(0,MIN(100,'Hypothèses &amp; sources'!$B$10-R14*'Hypothèses &amp; sources'!$B$9))+'Hypothèses &amp; sources'!$B$6*(G14/5*100)+'Hypothèses &amp; sources'!$B$7*(H14/5*100)+'Hypothèses &amp; sources'!$B$8*MAX(0,MIN(100,'Hypothèses &amp; sources'!$B$12-E14*'Hypothèses &amp; sources'!$B$11))-T14)</x:f>
        <x:v>85.832</x:v>
      </x:c>
      <x:c r="T14" s="33" t="n">
        <x:v>0</x:v>
      </x:c>
    </x:row>
    <x:row r="15">
      <x:c r="A15" s="33" t="n">
        <x:v>11</x:v>
      </x:c>
      <x:c r="B15" s="38" t="str">
        <x:v>Mixed lentils with ginger and chile</x:v>
      </x:c>
      <x:c r="C15" s="38" t="str">
        <x:v>Plat complet</x:v>
      </x:c>
      <x:c r="D15" s="38" t="str">
        <x:v>gingembre, piment / chili, légumineuses</x:v>
      </x:c>
      <x:c r="E15" s="33" t="n">
        <x:v>20</x:v>
      </x:c>
      <x:c r="F15" s="33" t="n">
        <x:v>40</x:v>
      </x:c>
      <x:c r="G15" s="56" t="n">
        <x:v>4</x:v>
      </x:c>
      <x:c r="H15" s="56" t="n">
        <x:v>3.6</x:v>
      </x:c>
      <x:c r="I15" s="33" t="n">
        <x:v>0</x:v>
      </x:c>
      <x:c r="J15" s="57" t="n">
        <x:v>3.2</x:v>
      </x:c>
      <x:c r="K15" s="57" t="n">
        <x:f>J15*'Hypothèses &amp; sources'!$E$4</x:f>
        <x:v>3.2</x:v>
      </x:c>
      <x:c r="L15" s="57" t="n">
        <x:f>J15*'Hypothèses &amp; sources'!$F$4</x:f>
        <x:v>3.3920000000000003</x:v>
      </x:c>
      <x:c r="M15" s="57" t="n">
        <x:f>J15*'Hypothèses &amp; sources'!$G$4</x:f>
        <x:v>3.5200000000000005</x:v>
      </x:c>
      <x:c r="N15" s="57" t="n">
        <x:f>J15*'Hypothèses &amp; sources'!$H$4</x:f>
        <x:v>3.5520000000000005</x:v>
      </x:c>
      <x:c r="O15" s="57" t="n">
        <x:f>J15*'Hypothèses &amp; sources'!$I$4</x:f>
        <x:v>3.968</x:v>
      </x:c>
      <x:c r="P15" s="57" t="str">
        <x:v>Lidl</x:v>
      </x:c>
      <x:c r="Q15" s="57" t="n">
        <x:f>IF(P15="Lidl",K15,IF(P15="Super U",L15,IF(P15="Carrefour",M15,IF(P15="Auchan",N15,O15))))</x:f>
        <x:v>3.2</x:v>
      </x:c>
      <x:c r="R15" s="57" t="n">
        <x:f>Q15/'Hypothèses &amp; sources'!$B$4</x:f>
        <x:v>0.8</x:v>
      </x:c>
      <x:c r="S15" s="56" t="n">
        <x:f>MAX(0,'Hypothèses &amp; sources'!$B$5*MAX(0,MIN(100,'Hypothèses &amp; sources'!$B$10-R15*'Hypothèses &amp; sources'!$B$9))+'Hypothèses &amp; sources'!$B$6*(G15/5*100)+'Hypothèses &amp; sources'!$B$7*(H15/5*100)+'Hypothèses &amp; sources'!$B$8*MAX(0,MIN(100,'Hypothèses &amp; sources'!$B$12-E15*'Hypothèses &amp; sources'!$B$11))-T15)</x:f>
        <x:v>85.28</x:v>
      </x:c>
      <x:c r="T15" s="33" t="n">
        <x:v>0</x:v>
      </x:c>
    </x:row>
    <x:row r="16">
      <x:c r="A16" s="33" t="n">
        <x:v>12</x:v>
      </x:c>
      <x:c r="B16" s="38" t="str">
        <x:v>Tahari/riz jaune aux pomem de terre</x:v>
      </x:c>
      <x:c r="C16" s="38" t="str">
        <x:v>Riz / végétarien</x:v>
      </x:c>
      <x:c r="D16" s="38" t="str">
        <x:v>riz, pommes de terre, oignon, curcuma, épices</x:v>
      </x:c>
      <x:c r="E16" s="33" t="n">
        <x:v>20</x:v>
      </x:c>
      <x:c r="F16" s="33" t="n">
        <x:v>40</x:v>
      </x:c>
      <x:c r="G16" s="56" t="n">
        <x:v>4.3</x:v>
      </x:c>
      <x:c r="H16" s="56" t="n">
        <x:v>3.8</x:v>
      </x:c>
      <x:c r="I16" s="33" t="n">
        <x:v>1</x:v>
      </x:c>
      <x:c r="J16" s="57" t="n">
        <x:v>5</x:v>
      </x:c>
      <x:c r="K16" s="57" t="n">
        <x:f>J16*'Hypothèses &amp; sources'!$E$4</x:f>
        <x:v>5</x:v>
      </x:c>
      <x:c r="L16" s="57" t="n">
        <x:f>J16*'Hypothèses &amp; sources'!$F$4</x:f>
        <x:v>5.300000000000001</x:v>
      </x:c>
      <x:c r="M16" s="57" t="n">
        <x:f>J16*'Hypothèses &amp; sources'!$G$4</x:f>
        <x:v>5.5</x:v>
      </x:c>
      <x:c r="N16" s="57" t="n">
        <x:f>J16*'Hypothèses &amp; sources'!$H$4</x:f>
        <x:v>5.550000000000001</x:v>
      </x:c>
      <x:c r="O16" s="57" t="n">
        <x:f>J16*'Hypothèses &amp; sources'!$I$4</x:f>
        <x:v>6.2</x:v>
      </x:c>
      <x:c r="P16" s="57" t="str">
        <x:v>Super U</x:v>
      </x:c>
      <x:c r="Q16" s="57" t="n">
        <x:f>IF(P16="Lidl",K16,IF(P16="Super U",L16,IF(P16="Carrefour",M16,IF(P16="Auchan",N16,O16))))</x:f>
        <x:v>5.300000000000001</x:v>
      </x:c>
      <x:c r="R16" s="57" t="n">
        <x:f>Q16/'Hypothèses &amp; sources'!$B$4</x:f>
        <x:v>1.3250000000000002</x:v>
      </x:c>
      <x:c r="S16" s="56" t="n">
        <x:f>MAX(0,'Hypothèses &amp; sources'!$B$5*MAX(0,MIN(100,'Hypothèses &amp; sources'!$B$10-R16*'Hypothèses &amp; sources'!$B$9))+'Hypothèses &amp; sources'!$B$6*(G16/5*100)+'Hypothèses &amp; sources'!$B$7*(H16/5*100)+'Hypothèses &amp; sources'!$B$8*MAX(0,MIN(100,'Hypothèses &amp; sources'!$B$12-E16*'Hypothèses &amp; sources'!$B$11))-T16)</x:f>
        <x:v>85.20200000000001</x:v>
      </x:c>
      <x:c r="T16" s="33" t="n">
        <x:v>0</x:v>
      </x:c>
    </x:row>
    <x:row r="17">
      <x:c r="A17" s="33" t="n">
        <x:v>13</x:v>
      </x:c>
      <x:c r="B17" s="38" t="str">
        <x:v>Dump &amp; done wild rice soup</x:v>
      </x:c>
      <x:c r="C17" s="38" t="str">
        <x:v>Soupe / végétarien</x:v>
      </x:c>
      <x:c r="D17" s="38" t="str">
        <x:v>riz sauvage, champignons, carotte, céleri, oignon, bouillon, crème</x:v>
      </x:c>
      <x:c r="E17" s="33" t="n">
        <x:v>10</x:v>
      </x:c>
      <x:c r="F17" s="33" t="n">
        <x:v>50</x:v>
      </x:c>
      <x:c r="G17" s="56" t="n">
        <x:v>4.1</x:v>
      </x:c>
      <x:c r="H17" s="56" t="n">
        <x:v>4.2</x:v>
      </x:c>
      <x:c r="I17" s="33" t="n">
        <x:v>1</x:v>
      </x:c>
      <x:c r="J17" s="57" t="n">
        <x:v>7.5</x:v>
      </x:c>
      <x:c r="K17" s="57" t="n">
        <x:f>J17*'Hypothèses &amp; sources'!$E$4</x:f>
        <x:v>7.5</x:v>
      </x:c>
      <x:c r="L17" s="57" t="n">
        <x:f>J17*'Hypothèses &amp; sources'!$F$4</x:f>
        <x:v>7.95</x:v>
      </x:c>
      <x:c r="M17" s="57" t="n">
        <x:f>J17*'Hypothèses &amp; sources'!$G$4</x:f>
        <x:v>8.25</x:v>
      </x:c>
      <x:c r="N17" s="57" t="n">
        <x:f>J17*'Hypothèses &amp; sources'!$H$4</x:f>
        <x:v>8.325000000000001</x:v>
      </x:c>
      <x:c r="O17" s="57" t="n">
        <x:f>J17*'Hypothèses &amp; sources'!$I$4</x:f>
        <x:v>9.3</x:v>
      </x:c>
      <x:c r="P17" s="57" t="str">
        <x:v>Super U</x:v>
      </x:c>
      <x:c r="Q17" s="57" t="n">
        <x:f>IF(P17="Lidl",K17,IF(P17="Super U",L17,IF(P17="Carrefour",M17,IF(P17="Auchan",N17,O17))))</x:f>
        <x:v>7.95</x:v>
      </x:c>
      <x:c r="R17" s="57" t="n">
        <x:f>Q17/'Hypothèses &amp; sources'!$B$4</x:f>
        <x:v>1.9875</x:v>
      </x:c>
      <x:c r="S17" s="56" t="n">
        <x:f>MAX(0,'Hypothèses &amp; sources'!$B$5*MAX(0,MIN(100,'Hypothèses &amp; sources'!$B$10-R17*'Hypothèses &amp; sources'!$B$9))+'Hypothèses &amp; sources'!$B$6*(G17/5*100)+'Hypothèses &amp; sources'!$B$7*(H17/5*100)+'Hypothèses &amp; sources'!$B$8*MAX(0,MIN(100,'Hypothèses &amp; sources'!$B$12-E17*'Hypothèses &amp; sources'!$B$11))-T17)</x:f>
        <x:v>84.82300000000001</x:v>
      </x:c>
      <x:c r="T17" s="33" t="n">
        <x:v>0</x:v>
      </x:c>
    </x:row>
    <x:row r="18">
      <x:c r="A18" s="33" t="n">
        <x:v>14</x:v>
      </x:c>
      <x:c r="B18" s="38" t="str">
        <x:v>Green beans and potatoes</x:v>
      </x:c>
      <x:c r="C18" s="38" t="str">
        <x:v>Plat complet</x:v>
      </x:c>
      <x:c r="D18" s="38" t="str">
        <x:v>pommes de terre, légumineuses, haricots verts</x:v>
      </x:c>
      <x:c r="E18" s="33" t="n">
        <x:v>20</x:v>
      </x:c>
      <x:c r="F18" s="33" t="n">
        <x:v>40</x:v>
      </x:c>
      <x:c r="G18" s="56" t="n">
        <x:v>4.5</x:v>
      </x:c>
      <x:c r="H18" s="56" t="n">
        <x:v>3.6</x:v>
      </x:c>
      <x:c r="I18" s="33" t="n">
        <x:v>0</x:v>
      </x:c>
      <x:c r="J18" s="57" t="n">
        <x:v>6.1</x:v>
      </x:c>
      <x:c r="K18" s="57" t="n">
        <x:f>J18*'Hypothèses &amp; sources'!$E$4</x:f>
        <x:v>6.1</x:v>
      </x:c>
      <x:c r="L18" s="57" t="n">
        <x:f>J18*'Hypothèses &amp; sources'!$F$4</x:f>
        <x:v>6.466</x:v>
      </x:c>
      <x:c r="M18" s="57" t="n">
        <x:f>J18*'Hypothèses &amp; sources'!$G$4</x:f>
        <x:v>6.71</x:v>
      </x:c>
      <x:c r="N18" s="57" t="n">
        <x:f>J18*'Hypothèses &amp; sources'!$H$4</x:f>
        <x:v>6.771</x:v>
      </x:c>
      <x:c r="O18" s="57" t="n">
        <x:f>J18*'Hypothèses &amp; sources'!$I$4</x:f>
        <x:v>7.563999999999999</x:v>
      </x:c>
      <x:c r="P18" s="57" t="str">
        <x:v>Lidl</x:v>
      </x:c>
      <x:c r="Q18" s="57" t="n">
        <x:f>IF(P18="Lidl",K18,IF(P18="Super U",L18,IF(P18="Carrefour",M18,IF(P18="Auchan",N18,O18))))</x:f>
        <x:v>6.1</x:v>
      </x:c>
      <x:c r="R18" s="57" t="n">
        <x:f>Q18/'Hypothèses &amp; sources'!$B$4</x:f>
        <x:v>1.525</x:v>
      </x:c>
      <x:c r="S18" s="56" t="n">
        <x:f>MAX(0,'Hypothèses &amp; sources'!$B$5*MAX(0,MIN(100,'Hypothèses &amp; sources'!$B$10-R18*'Hypothèses &amp; sources'!$B$9))+'Hypothèses &amp; sources'!$B$6*(G18/5*100)+'Hypothèses &amp; sources'!$B$7*(H18/5*100)+'Hypothèses &amp; sources'!$B$8*MAX(0,MIN(100,'Hypothèses &amp; sources'!$B$12-E18*'Hypothèses &amp; sources'!$B$11))-T18)</x:f>
        <x:v>84.59400000000001</x:v>
      </x:c>
      <x:c r="T18" s="33" t="n">
        <x:v>0</x:v>
      </x:c>
    </x:row>
    <x:row r="19">
      <x:c r="A19" s="33" t="n">
        <x:v>15</x:v>
      </x:c>
      <x:c r="B19" s="38" t="str">
        <x:v>Caldo tlalpeno/soupe au poulet et aux pois chiche</x:v>
      </x:c>
      <x:c r="C19" s="38" t="str">
        <x:v>Soupe / bouillon</x:v>
      </x:c>
      <x:c r="D19" s="38" t="str">
        <x:v>bouillon, oignon, légumineuses, poulet</x:v>
      </x:c>
      <x:c r="E19" s="33" t="n">
        <x:v>15</x:v>
      </x:c>
      <x:c r="F19" s="33" t="n">
        <x:v>35</x:v>
      </x:c>
      <x:c r="G19" s="56" t="n">
        <x:v>4.7</x:v>
      </x:c>
      <x:c r="H19" s="56" t="n">
        <x:v>4.2</x:v>
      </x:c>
      <x:c r="I19" s="33" t="n">
        <x:v>0</x:v>
      </x:c>
      <x:c r="J19" s="57" t="n">
        <x:v>9.8</x:v>
      </x:c>
      <x:c r="K19" s="57" t="n">
        <x:f>J19*'Hypothèses &amp; sources'!$E$4</x:f>
        <x:v>9.8</x:v>
      </x:c>
      <x:c r="L19" s="57" t="n">
        <x:f>J19*'Hypothèses &amp; sources'!$F$4</x:f>
        <x:v>10.388000000000002</x:v>
      </x:c>
      <x:c r="M19" s="57" t="n">
        <x:f>J19*'Hypothèses &amp; sources'!$G$4</x:f>
        <x:v>10.780000000000001</x:v>
      </x:c>
      <x:c r="N19" s="57" t="n">
        <x:f>J19*'Hypothèses &amp; sources'!$H$4</x:f>
        <x:v>10.878000000000002</x:v>
      </x:c>
      <x:c r="O19" s="57" t="n">
        <x:f>J19*'Hypothèses &amp; sources'!$I$4</x:f>
        <x:v>12.152000000000001</x:v>
      </x:c>
      <x:c r="P19" s="57" t="str">
        <x:v>Lidl</x:v>
      </x:c>
      <x:c r="Q19" s="57" t="n">
        <x:f>IF(P19="Lidl",K19,IF(P19="Super U",L19,IF(P19="Carrefour",M19,IF(P19="Auchan",N19,O19))))</x:f>
        <x:v>9.8</x:v>
      </x:c>
      <x:c r="R19" s="57" t="n">
        <x:f>Q19/'Hypothèses &amp; sources'!$B$4</x:f>
        <x:v>2.45</x:v>
      </x:c>
      <x:c r="S19" s="56" t="n">
        <x:f>MAX(0,'Hypothèses &amp; sources'!$B$5*MAX(0,MIN(100,'Hypothèses &amp; sources'!$B$10-R19*'Hypothèses &amp; sources'!$B$9))+'Hypothèses &amp; sources'!$B$6*(G19/5*100)+'Hypothèses &amp; sources'!$B$7*(H19/5*100)+'Hypothèses &amp; sources'!$B$8*MAX(0,MIN(100,'Hypothèses &amp; sources'!$B$12-E19*'Hypothèses &amp; sources'!$B$11))-T19)</x:f>
        <x:v>84.532</x:v>
      </x:c>
      <x:c r="T19" s="33" t="n">
        <x:v>0</x:v>
      </x:c>
    </x:row>
    <x:row r="20">
      <x:c r="A20" s="33" t="n">
        <x:v>16</x:v>
      </x:c>
      <x:c r="B20" s="38" t="str">
        <x:v>Shredded chicken</x:v>
      </x:c>
      <x:c r="C20" s="38" t="str">
        <x:v>Poulet / base</x:v>
      </x:c>
      <x:c r="D20" s="38" t="str">
        <x:v>poulet, bouillon, oignon, épices</x:v>
      </x:c>
      <x:c r="E20" s="33" t="n">
        <x:v>10</x:v>
      </x:c>
      <x:c r="F20" s="33" t="n">
        <x:v>35</x:v>
      </x:c>
      <x:c r="G20" s="56" t="n">
        <x:v>4.3</x:v>
      </x:c>
      <x:c r="H20" s="56" t="n">
        <x:v>3.8</x:v>
      </x:c>
      <x:c r="I20" s="33" t="n">
        <x:v>0</x:v>
      </x:c>
      <x:c r="J20" s="57" t="n">
        <x:v>8</x:v>
      </x:c>
      <x:c r="K20" s="57" t="n">
        <x:f>J20*'Hypothèses &amp; sources'!$E$4</x:f>
        <x:v>8</x:v>
      </x:c>
      <x:c r="L20" s="57" t="n">
        <x:f>J20*'Hypothèses &amp; sources'!$F$4</x:f>
        <x:v>8.48</x:v>
      </x:c>
      <x:c r="M20" s="57" t="n">
        <x:f>J20*'Hypothèses &amp; sources'!$G$4</x:f>
        <x:v>8.8</x:v>
      </x:c>
      <x:c r="N20" s="57" t="n">
        <x:f>J20*'Hypothèses &amp; sources'!$H$4</x:f>
        <x:v>8.88</x:v>
      </x:c>
      <x:c r="O20" s="57" t="n">
        <x:f>J20*'Hypothèses &amp; sources'!$I$4</x:f>
        <x:v>9.92</x:v>
      </x:c>
      <x:c r="P20" s="57" t="str">
        <x:v>Lidl</x:v>
      </x:c>
      <x:c r="Q20" s="57" t="n">
        <x:f>IF(P20="Lidl",K20,IF(P20="Super U",L20,IF(P20="Carrefour",M20,IF(P20="Auchan",N20,O20))))</x:f>
        <x:v>8</x:v>
      </x:c>
      <x:c r="R20" s="57" t="n">
        <x:f>Q20/'Hypothèses &amp; sources'!$B$4</x:f>
        <x:v>2</x:v>
      </x:c>
      <x:c r="S20" s="56" t="n">
        <x:f>MAX(0,'Hypothèses &amp; sources'!$B$5*MAX(0,MIN(100,'Hypothèses &amp; sources'!$B$10-R20*'Hypothèses &amp; sources'!$B$9))+'Hypothèses &amp; sources'!$B$6*(G20/5*100)+'Hypothèses &amp; sources'!$B$7*(H20/5*100)+'Hypothèses &amp; sources'!$B$8*MAX(0,MIN(100,'Hypothèses &amp; sources'!$B$12-E20*'Hypothèses &amp; sources'!$B$11))-T20)</x:f>
        <x:v>84.44</x:v>
      </x:c>
      <x:c r="T20" s="33" t="n">
        <x:v>0</x:v>
      </x:c>
    </x:row>
    <x:row r="21">
      <x:c r="A21" s="33" t="n">
        <x:v>17</x:v>
      </x:c>
      <x:c r="B21" s="38" t="str">
        <x:v>Haricots ivres</x:v>
      </x:c>
      <x:c r="C21" s="38" t="str">
        <x:v>Légumineuses</x:v>
      </x:c>
      <x:c r="D21" s="38" t="str">
        <x:v>haricots, bière, bacon, oignon, tomate, épices</x:v>
      </x:c>
      <x:c r="E21" s="33" t="n">
        <x:v>15</x:v>
      </x:c>
      <x:c r="F21" s="33" t="n">
        <x:v>45</x:v>
      </x:c>
      <x:c r="G21" s="56" t="n">
        <x:v>4.5</x:v>
      </x:c>
      <x:c r="H21" s="56" t="n">
        <x:v>3.5</x:v>
      </x:c>
      <x:c r="I21" s="33" t="n">
        <x:v>0</x:v>
      </x:c>
      <x:c r="J21" s="57" t="n">
        <x:v>7</x:v>
      </x:c>
      <x:c r="K21" s="57" t="n">
        <x:f>J21*'Hypothèses &amp; sources'!$E$4</x:f>
        <x:v>7</x:v>
      </x:c>
      <x:c r="L21" s="57" t="n">
        <x:f>J21*'Hypothèses &amp; sources'!$F$4</x:f>
        <x:v>7.42</x:v>
      </x:c>
      <x:c r="M21" s="57" t="n">
        <x:f>J21*'Hypothèses &amp; sources'!$G$4</x:f>
        <x:v>7.700000000000001</x:v>
      </x:c>
      <x:c r="N21" s="57" t="n">
        <x:f>J21*'Hypothèses &amp; sources'!$H$4</x:f>
        <x:v>7.7700000000000005</x:v>
      </x:c>
      <x:c r="O21" s="57" t="n">
        <x:f>J21*'Hypothèses &amp; sources'!$I$4</x:f>
        <x:v>8.68</x:v>
      </x:c>
      <x:c r="P21" s="57" t="str">
        <x:v>Lidl</x:v>
      </x:c>
      <x:c r="Q21" s="57" t="n">
        <x:f>IF(P21="Lidl",K21,IF(P21="Super U",L21,IF(P21="Carrefour",M21,IF(P21="Auchan",N21,O21))))</x:f>
        <x:v>7</x:v>
      </x:c>
      <x:c r="R21" s="57" t="n">
        <x:f>Q21/'Hypothèses &amp; sources'!$B$4</x:f>
        <x:v>1.75</x:v>
      </x:c>
      <x:c r="S21" s="56" t="n">
        <x:f>MAX(0,'Hypothèses &amp; sources'!$B$5*MAX(0,MIN(100,'Hypothèses &amp; sources'!$B$10-R21*'Hypothèses &amp; sources'!$B$9))+'Hypothèses &amp; sources'!$B$6*(G21/5*100)+'Hypothèses &amp; sources'!$B$7*(H21/5*100)+'Hypothèses &amp; sources'!$B$8*MAX(0,MIN(100,'Hypothèses &amp; sources'!$B$12-E21*'Hypothèses &amp; sources'!$B$11))-T21)</x:f>
        <x:v>84.41999999999999</x:v>
      </x:c>
      <x:c r="T21" s="33" t="n">
        <x:v>0</x:v>
      </x:c>
    </x:row>
    <x:row r="22">
      <x:c r="A22" s="33" t="n">
        <x:v>18</x:v>
      </x:c>
      <x:c r="B22" s="38" t="str">
        <x:v>Lentil soup with ham</x:v>
      </x:c>
      <x:c r="C22" s="38" t="str">
        <x:v>Soupe / bouillon</x:v>
      </x:c>
      <x:c r="D22" s="38" t="str">
        <x:v>bouillon, oignon, légumineuses, jambon</x:v>
      </x:c>
      <x:c r="E22" s="33" t="n">
        <x:v>15</x:v>
      </x:c>
      <x:c r="F22" s="33" t="n">
        <x:v>35</x:v>
      </x:c>
      <x:c r="G22" s="56" t="n">
        <x:v>4.5</x:v>
      </x:c>
      <x:c r="H22" s="56" t="n">
        <x:v>3.8</x:v>
      </x:c>
      <x:c r="I22" s="33" t="n">
        <x:v>0</x:v>
      </x:c>
      <x:c r="J22" s="57" t="n">
        <x:v>8.2</x:v>
      </x:c>
      <x:c r="K22" s="57" t="n">
        <x:f>J22*'Hypothèses &amp; sources'!$E$4</x:f>
        <x:v>8.2</x:v>
      </x:c>
      <x:c r="L22" s="57" t="n">
        <x:f>J22*'Hypothèses &amp; sources'!$F$4</x:f>
        <x:v>8.692</x:v>
      </x:c>
      <x:c r="M22" s="57" t="n">
        <x:f>J22*'Hypothèses &amp; sources'!$G$4</x:f>
        <x:v>9.02</x:v>
      </x:c>
      <x:c r="N22" s="57" t="n">
        <x:f>J22*'Hypothèses &amp; sources'!$H$4</x:f>
        <x:v>9.102</x:v>
      </x:c>
      <x:c r="O22" s="57" t="n">
        <x:f>J22*'Hypothèses &amp; sources'!$I$4</x:f>
        <x:v>10.168</x:v>
      </x:c>
      <x:c r="P22" s="57" t="str">
        <x:v>Lidl</x:v>
      </x:c>
      <x:c r="Q22" s="57" t="n">
        <x:f>IF(P22="Lidl",K22,IF(P22="Super U",L22,IF(P22="Carrefour",M22,IF(P22="Auchan",N22,O22))))</x:f>
        <x:v>8.2</x:v>
      </x:c>
      <x:c r="R22" s="57" t="n">
        <x:f>Q22/'Hypothèses &amp; sources'!$B$4</x:f>
        <x:v>2.05</x:v>
      </x:c>
      <x:c r="S22" s="56" t="n">
        <x:f>MAX(0,'Hypothèses &amp; sources'!$B$5*MAX(0,MIN(100,'Hypothèses &amp; sources'!$B$10-R22*'Hypothèses &amp; sources'!$B$9))+'Hypothèses &amp; sources'!$B$6*(G22/5*100)+'Hypothèses &amp; sources'!$B$7*(H22/5*100)+'Hypothèses &amp; sources'!$B$8*MAX(0,MIN(100,'Hypothèses &amp; sources'!$B$12-E22*'Hypothèses &amp; sources'!$B$11))-T22)</x:f>
        <x:v>83.988</x:v>
      </x:c>
      <x:c r="T22" s="33" t="n">
        <x:v>0</x:v>
      </x:c>
    </x:row>
    <x:row r="23">
      <x:c r="A23" s="33" t="n">
        <x:v>19</x:v>
      </x:c>
      <x:c r="B23" s="38" t="str">
        <x:v>Chinese takeout-style tofu and broccoli</x:v>
      </x:c>
      <x:c r="C23" s="38" t="str">
        <x:v>Plat complet / végétarien</x:v>
      </x:c>
      <x:c r="D23" s="38" t="str">
        <x:v>tofu, brocoli, riz, sauce soja, ail, gingembre, sésame</x:v>
      </x:c>
      <x:c r="E23" s="33" t="n">
        <x:v>15</x:v>
      </x:c>
      <x:c r="F23" s="33" t="n">
        <x:v>30</x:v>
      </x:c>
      <x:c r="G23" s="56" t="n">
        <x:v>4.1</x:v>
      </x:c>
      <x:c r="H23" s="56" t="n">
        <x:v>4.6</x:v>
      </x:c>
      <x:c r="I23" s="33" t="n">
        <x:v>1</x:v>
      </x:c>
      <x:c r="J23" s="57" t="n">
        <x:v>8.3</x:v>
      </x:c>
      <x:c r="K23" s="57" t="n">
        <x:f>J23*'Hypothèses &amp; sources'!$E$4</x:f>
        <x:v>8.3</x:v>
      </x:c>
      <x:c r="L23" s="57" t="n">
        <x:f>J23*'Hypothèses &amp; sources'!$F$4</x:f>
        <x:v>8.798000000000002</x:v>
      </x:c>
      <x:c r="M23" s="57" t="n">
        <x:f>J23*'Hypothèses &amp; sources'!$G$4</x:f>
        <x:v>9.13</x:v>
      </x:c>
      <x:c r="N23" s="57" t="n">
        <x:f>J23*'Hypothèses &amp; sources'!$H$4</x:f>
        <x:v>9.213000000000001</x:v>
      </x:c>
      <x:c r="O23" s="57" t="n">
        <x:f>J23*'Hypothèses &amp; sources'!$I$4</x:f>
        <x:v>10.292000000000002</x:v>
      </x:c>
      <x:c r="P23" s="57" t="str">
        <x:v>Super U</x:v>
      </x:c>
      <x:c r="Q23" s="57" t="n">
        <x:f>IF(P23="Lidl",K23,IF(P23="Super U",L23,IF(P23="Carrefour",M23,IF(P23="Auchan",N23,O23))))</x:f>
        <x:v>8.798000000000002</x:v>
      </x:c>
      <x:c r="R23" s="57" t="n">
        <x:f>Q23/'Hypothèses &amp; sources'!$B$4</x:f>
        <x:v>2.1995000000000005</x:v>
      </x:c>
      <x:c r="S23" s="56" t="n">
        <x:f>MAX(0,'Hypothèses &amp; sources'!$B$5*MAX(0,MIN(100,'Hypothèses &amp; sources'!$B$10-R23*'Hypothèses &amp; sources'!$B$9))+'Hypothèses &amp; sources'!$B$6*(G23/5*100)+'Hypothèses &amp; sources'!$B$7*(H23/5*100)+'Hypothèses &amp; sources'!$B$8*MAX(0,MIN(100,'Hypothèses &amp; sources'!$B$12-E23*'Hypothèses &amp; sources'!$B$11))-T23)</x:f>
        <x:v>83.87451999999999</x:v>
      </x:c>
      <x:c r="T23" s="33" t="n">
        <x:v>0</x:v>
      </x:c>
    </x:row>
    <x:row r="24">
      <x:c r="A24" s="33" t="n">
        <x:v>20</x:v>
      </x:c>
      <x:c r="B24" s="38" t="str">
        <x:v>Soupe de mais douce aux légumes</x:v>
      </x:c>
      <x:c r="C24" s="38" t="str">
        <x:v>Soupe / végétarien</x:v>
      </x:c>
      <x:c r="D24" s="38" t="str">
        <x:v>maïs, carotte, céleri, oignon, bouillon</x:v>
      </x:c>
      <x:c r="E24" s="33" t="n">
        <x:v>15</x:v>
      </x:c>
      <x:c r="F24" s="33" t="n">
        <x:v>35</x:v>
      </x:c>
      <x:c r="G24" s="56" t="n">
        <x:v>3.5</x:v>
      </x:c>
      <x:c r="H24" s="56" t="n">
        <x:v>4.2</x:v>
      </x:c>
      <x:c r="I24" s="33" t="n">
        <x:v>0</x:v>
      </x:c>
      <x:c r="J24" s="57" t="n">
        <x:v>5</x:v>
      </x:c>
      <x:c r="K24" s="57" t="n">
        <x:f>J24*'Hypothèses &amp; sources'!$E$4</x:f>
        <x:v>5</x:v>
      </x:c>
      <x:c r="L24" s="57" t="n">
        <x:f>J24*'Hypothèses &amp; sources'!$F$4</x:f>
        <x:v>5.300000000000001</x:v>
      </x:c>
      <x:c r="M24" s="57" t="n">
        <x:f>J24*'Hypothèses &amp; sources'!$G$4</x:f>
        <x:v>5.5</x:v>
      </x:c>
      <x:c r="N24" s="57" t="n">
        <x:f>J24*'Hypothèses &amp; sources'!$H$4</x:f>
        <x:v>5.550000000000001</x:v>
      </x:c>
      <x:c r="O24" s="57" t="n">
        <x:f>J24*'Hypothèses &amp; sources'!$I$4</x:f>
        <x:v>6.2</x:v>
      </x:c>
      <x:c r="P24" s="57" t="str">
        <x:v>Lidl</x:v>
      </x:c>
      <x:c r="Q24" s="57" t="n">
        <x:f>IF(P24="Lidl",K24,IF(P24="Super U",L24,IF(P24="Carrefour",M24,IF(P24="Auchan",N24,O24))))</x:f>
        <x:v>5</x:v>
      </x:c>
      <x:c r="R24" s="57" t="n">
        <x:f>Q24/'Hypothèses &amp; sources'!$B$4</x:f>
        <x:v>1.25</x:v>
      </x:c>
      <x:c r="S24" s="56" t="n">
        <x:f>MAX(0,'Hypothèses &amp; sources'!$B$5*MAX(0,MIN(100,'Hypothèses &amp; sources'!$B$10-R24*'Hypothèses &amp; sources'!$B$9))+'Hypothèses &amp; sources'!$B$6*(G24/5*100)+'Hypothèses &amp; sources'!$B$7*(H24/5*100)+'Hypothèses &amp; sources'!$B$8*MAX(0,MIN(100,'Hypothèses &amp; sources'!$B$12-E24*'Hypothèses &amp; sources'!$B$11))-T24)</x:f>
        <x:v>83.86</x:v>
      </x:c>
      <x:c r="T24" s="33" t="n">
        <x:v>0</x:v>
      </x:c>
    </x:row>
    <x:row r="25">
      <x:c r="A25" s="33" t="n">
        <x:v>21</x:v>
      </x:c>
      <x:c r="B25" s="38" t="str">
        <x:v>Sopa de tortilla/tortilla soup</x:v>
      </x:c>
      <x:c r="C25" s="38" t="str">
        <x:v>Soupe / végétarien</x:v>
      </x:c>
      <x:c r="D25" s="38" t="str">
        <x:v>tomates, bouillon, tortillas, haricots, maïs, avocat</x:v>
      </x:c>
      <x:c r="E25" s="33" t="n">
        <x:v>20</x:v>
      </x:c>
      <x:c r="F25" s="33" t="n">
        <x:v>40</x:v>
      </x:c>
      <x:c r="G25" s="56" t="n">
        <x:v>4</x:v>
      </x:c>
      <x:c r="H25" s="56" t="n">
        <x:v>4.5</x:v>
      </x:c>
      <x:c r="I25" s="33" t="n">
        <x:v>1</x:v>
      </x:c>
      <x:c r="J25" s="57" t="n">
        <x:v>7</x:v>
      </x:c>
      <x:c r="K25" s="57" t="n">
        <x:f>J25*'Hypothèses &amp; sources'!$E$4</x:f>
        <x:v>7</x:v>
      </x:c>
      <x:c r="L25" s="57" t="n">
        <x:f>J25*'Hypothèses &amp; sources'!$F$4</x:f>
        <x:v>7.42</x:v>
      </x:c>
      <x:c r="M25" s="57" t="n">
        <x:f>J25*'Hypothèses &amp; sources'!$G$4</x:f>
        <x:v>7.700000000000001</x:v>
      </x:c>
      <x:c r="N25" s="57" t="n">
        <x:f>J25*'Hypothèses &amp; sources'!$H$4</x:f>
        <x:v>7.7700000000000005</x:v>
      </x:c>
      <x:c r="O25" s="57" t="n">
        <x:f>J25*'Hypothèses &amp; sources'!$I$4</x:f>
        <x:v>8.68</x:v>
      </x:c>
      <x:c r="P25" s="57" t="str">
        <x:v>Super U</x:v>
      </x:c>
      <x:c r="Q25" s="57" t="n">
        <x:f>IF(P25="Lidl",K25,IF(P25="Super U",L25,IF(P25="Carrefour",M25,IF(P25="Auchan",N25,O25))))</x:f>
        <x:v>7.42</x:v>
      </x:c>
      <x:c r="R25" s="57" t="n">
        <x:f>Q25/'Hypothèses &amp; sources'!$B$4</x:f>
        <x:v>1.855</x:v>
      </x:c>
      <x:c r="S25" s="56" t="n">
        <x:f>MAX(0,'Hypothèses &amp; sources'!$B$5*MAX(0,MIN(100,'Hypothèses &amp; sources'!$B$10-R25*'Hypothèses &amp; sources'!$B$9))+'Hypothèses &amp; sources'!$B$6*(G25/5*100)+'Hypothèses &amp; sources'!$B$7*(H25/5*100)+'Hypothèses &amp; sources'!$B$8*MAX(0,MIN(100,'Hypothèses &amp; sources'!$B$12-E25*'Hypothèses &amp; sources'!$B$11))-T25)</x:f>
        <x:v>83.3708</x:v>
      </x:c>
      <x:c r="T25" s="33" t="n">
        <x:v>0</x:v>
      </x:c>
    </x:row>
    <x:row r="26">
      <x:c r="A26" s="33" t="n">
        <x:v>22</x:v>
      </x:c>
      <x:c r="B26" s="38" t="str">
        <x:v>Chili garlic noodles</x:v>
      </x:c>
      <x:c r="C26" s="38" t="str">
        <x:v>Nouilles / végétarien</x:v>
      </x:c>
      <x:c r="D26" s="38" t="str">
        <x:v>nouilles, ail, piment, sauce soja, huile de sésame, ciboule</x:v>
      </x:c>
      <x:c r="E26" s="33" t="n">
        <x:v>10</x:v>
      </x:c>
      <x:c r="F26" s="33" t="n">
        <x:v>20</x:v>
      </x:c>
      <x:c r="G26" s="56" t="n">
        <x:v>3.8</x:v>
      </x:c>
      <x:c r="H26" s="56" t="n">
        <x:v>3.2</x:v>
      </x:c>
      <x:c r="I26" s="33" t="n">
        <x:v>1</x:v>
      </x:c>
      <x:c r="J26" s="57" t="n">
        <x:v>4.8</x:v>
      </x:c>
      <x:c r="K26" s="57" t="n">
        <x:f>J26*'Hypothèses &amp; sources'!$E$4</x:f>
        <x:v>4.8</x:v>
      </x:c>
      <x:c r="L26" s="57" t="n">
        <x:f>J26*'Hypothèses &amp; sources'!$F$4</x:f>
        <x:v>5.088</x:v>
      </x:c>
      <x:c r="M26" s="57" t="n">
        <x:f>J26*'Hypothèses &amp; sources'!$G$4</x:f>
        <x:v>5.28</x:v>
      </x:c>
      <x:c r="N26" s="57" t="n">
        <x:f>J26*'Hypothèses &amp; sources'!$H$4</x:f>
        <x:v>5.328</x:v>
      </x:c>
      <x:c r="O26" s="57" t="n">
        <x:f>J26*'Hypothèses &amp; sources'!$I$4</x:f>
        <x:v>5.952</x:v>
      </x:c>
      <x:c r="P26" s="57" t="str">
        <x:v>Super U</x:v>
      </x:c>
      <x:c r="Q26" s="57" t="n">
        <x:f>IF(P26="Lidl",K26,IF(P26="Super U",L26,IF(P26="Carrefour",M26,IF(P26="Auchan",N26,O26))))</x:f>
        <x:v>5.088</x:v>
      </x:c>
      <x:c r="R26" s="57" t="n">
        <x:f>Q26/'Hypothèses &amp; sources'!$B$4</x:f>
        <x:v>1.272</x:v>
      </x:c>
      <x:c r="S26" s="56" t="n">
        <x:f>MAX(0,'Hypothèses &amp; sources'!$B$5*MAX(0,MIN(100,'Hypothèses &amp; sources'!$B$10-R26*'Hypothèses &amp; sources'!$B$9))+'Hypothèses &amp; sources'!$B$6*(G26/5*100)+'Hypothèses &amp; sources'!$B$7*(H26/5*100)+'Hypothèses &amp; sources'!$B$8*MAX(0,MIN(100,'Hypothèses &amp; sources'!$B$12-E26*'Hypothèses &amp; sources'!$B$11))-T26)</x:f>
        <x:v>83.14912</x:v>
      </x:c>
      <x:c r="T26" s="33" t="n">
        <x:v>0</x:v>
      </x:c>
    </x:row>
    <x:row r="27">
      <x:c r="A27" s="33" t="n">
        <x:v>23</x:v>
      </x:c>
      <x:c r="B27" s="38" t="str">
        <x:v>Chana masala</x:v>
      </x:c>
      <x:c r="C27" s="38" t="str">
        <x:v>Curry / cuisine épicée</x:v>
      </x:c>
      <x:c r="D27" s="38" t="str">
        <x:v>oignon, ail, gingembre, épices, légumineuses</x:v>
      </x:c>
      <x:c r="E27" s="33" t="n">
        <x:v>25</x:v>
      </x:c>
      <x:c r="F27" s="33" t="n">
        <x:v>55</x:v>
      </x:c>
      <x:c r="G27" s="56" t="n">
        <x:v>4</x:v>
      </x:c>
      <x:c r="H27" s="56" t="n">
        <x:v>3.6</x:v>
      </x:c>
      <x:c r="I27" s="33" t="n">
        <x:v>1</x:v>
      </x:c>
      <x:c r="J27" s="57" t="n">
        <x:v>3.8</x:v>
      </x:c>
      <x:c r="K27" s="57" t="n">
        <x:f>J27*'Hypothèses &amp; sources'!$E$4</x:f>
        <x:v>3.8</x:v>
      </x:c>
      <x:c r="L27" s="57" t="n">
        <x:f>J27*'Hypothèses &amp; sources'!$F$4</x:f>
        <x:v>4.028</x:v>
      </x:c>
      <x:c r="M27" s="57" t="n">
        <x:f>J27*'Hypothèses &amp; sources'!$G$4</x:f>
        <x:v>4.18</x:v>
      </x:c>
      <x:c r="N27" s="57" t="n">
        <x:f>J27*'Hypothèses &amp; sources'!$H$4</x:f>
        <x:v>4.218</x:v>
      </x:c>
      <x:c r="O27" s="57" t="n">
        <x:f>J27*'Hypothèses &amp; sources'!$I$4</x:f>
        <x:v>4.712</x:v>
      </x:c>
      <x:c r="P27" s="57" t="str">
        <x:v>Super U</x:v>
      </x:c>
      <x:c r="Q27" s="57" t="n">
        <x:f>IF(P27="Lidl",K27,IF(P27="Super U",L27,IF(P27="Carrefour",M27,IF(P27="Auchan",N27,O27))))</x:f>
        <x:v>4.028</x:v>
      </x:c>
      <x:c r="R27" s="57" t="n">
        <x:f>Q27/'Hypothèses &amp; sources'!$B$4</x:f>
        <x:v>1.007</x:v>
      </x:c>
      <x:c r="S27" s="56" t="n">
        <x:f>MAX(0,'Hypothèses &amp; sources'!$B$5*MAX(0,MIN(100,'Hypothèses &amp; sources'!$B$10-R27*'Hypothèses &amp; sources'!$B$9))+'Hypothèses &amp; sources'!$B$6*(G27/5*100)+'Hypothèses &amp; sources'!$B$7*(H27/5*100)+'Hypothèses &amp; sources'!$B$8*MAX(0,MIN(100,'Hypothèses &amp; sources'!$B$12-E27*'Hypothèses &amp; sources'!$B$11))-T27)</x:f>
        <x:v>83.08471999999999</x:v>
      </x:c>
      <x:c r="T27" s="33" t="n">
        <x:v>0</x:v>
      </x:c>
    </x:row>
    <x:row r="28">
      <x:c r="A28" s="33" t="n">
        <x:v>24</x:v>
      </x:c>
      <x:c r="B28" s="38" t="str">
        <x:v>Ethiopian lentils/misir wot</x:v>
      </x:c>
      <x:c r="C28" s="38" t="str">
        <x:v>Curry / cuisine épicée</x:v>
      </x:c>
      <x:c r="D28" s="38" t="str">
        <x:v>oignon, ail, gingembre, épices, légumineuses</x:v>
      </x:c>
      <x:c r="E28" s="33" t="n">
        <x:v>25</x:v>
      </x:c>
      <x:c r="F28" s="33" t="n">
        <x:v>55</x:v>
      </x:c>
      <x:c r="G28" s="56" t="n">
        <x:v>4</x:v>
      </x:c>
      <x:c r="H28" s="56" t="n">
        <x:v>3.6</x:v>
      </x:c>
      <x:c r="I28" s="33" t="n">
        <x:v>1</x:v>
      </x:c>
      <x:c r="J28" s="57" t="n">
        <x:v>3.8</x:v>
      </x:c>
      <x:c r="K28" s="57" t="n">
        <x:f>J28*'Hypothèses &amp; sources'!$E$4</x:f>
        <x:v>3.8</x:v>
      </x:c>
      <x:c r="L28" s="57" t="n">
        <x:f>J28*'Hypothèses &amp; sources'!$F$4</x:f>
        <x:v>4.028</x:v>
      </x:c>
      <x:c r="M28" s="57" t="n">
        <x:f>J28*'Hypothèses &amp; sources'!$G$4</x:f>
        <x:v>4.18</x:v>
      </x:c>
      <x:c r="N28" s="57" t="n">
        <x:f>J28*'Hypothèses &amp; sources'!$H$4</x:f>
        <x:v>4.218</x:v>
      </x:c>
      <x:c r="O28" s="57" t="n">
        <x:f>J28*'Hypothèses &amp; sources'!$I$4</x:f>
        <x:v>4.712</x:v>
      </x:c>
      <x:c r="P28" s="57" t="str">
        <x:v>Super U</x:v>
      </x:c>
      <x:c r="Q28" s="57" t="n">
        <x:f>IF(P28="Lidl",K28,IF(P28="Super U",L28,IF(P28="Carrefour",M28,IF(P28="Auchan",N28,O28))))</x:f>
        <x:v>4.028</x:v>
      </x:c>
      <x:c r="R28" s="57" t="n">
        <x:f>Q28/'Hypothèses &amp; sources'!$B$4</x:f>
        <x:v>1.007</x:v>
      </x:c>
      <x:c r="S28" s="56" t="n">
        <x:f>MAX(0,'Hypothèses &amp; sources'!$B$5*MAX(0,MIN(100,'Hypothèses &amp; sources'!$B$10-R28*'Hypothèses &amp; sources'!$B$9))+'Hypothèses &amp; sources'!$B$6*(G28/5*100)+'Hypothèses &amp; sources'!$B$7*(H28/5*100)+'Hypothèses &amp; sources'!$B$8*MAX(0,MIN(100,'Hypothèses &amp; sources'!$B$12-E28*'Hypothèses &amp; sources'!$B$11))-T28)</x:f>
        <x:v>83.08471999999999</x:v>
      </x:c>
      <x:c r="T28" s="33" t="n">
        <x:v>0</x:v>
      </x:c>
    </x:row>
    <x:row r="29">
      <x:c r="A29" s="33" t="n">
        <x:v>25</x:v>
      </x:c>
      <x:c r="B29" s="38" t="str">
        <x:v>Mushroom spinach risotto</x:v>
      </x:c>
      <x:c r="C29" s="38" t="str">
        <x:v>Riz / végétarien</x:v>
      </x:c>
      <x:c r="D29" s="38" t="str">
        <x:v>riz arborio, champignons, épinards, bouillon, parmesan, oignon</x:v>
      </x:c>
      <x:c r="E29" s="33" t="n">
        <x:v>20</x:v>
      </x:c>
      <x:c r="F29" s="33" t="n">
        <x:v>40</x:v>
      </x:c>
      <x:c r="G29" s="56" t="n">
        <x:v>4.2</x:v>
      </x:c>
      <x:c r="H29" s="56" t="n">
        <x:v>4.2</x:v>
      </x:c>
      <x:c r="I29" s="33" t="n">
        <x:v>0</x:v>
      </x:c>
      <x:c r="J29" s="57" t="n">
        <x:v>8</x:v>
      </x:c>
      <x:c r="K29" s="57" t="n">
        <x:f>J29*'Hypothèses &amp; sources'!$E$4</x:f>
        <x:v>8</x:v>
      </x:c>
      <x:c r="L29" s="57" t="n">
        <x:f>J29*'Hypothèses &amp; sources'!$F$4</x:f>
        <x:v>8.48</x:v>
      </x:c>
      <x:c r="M29" s="57" t="n">
        <x:f>J29*'Hypothèses &amp; sources'!$G$4</x:f>
        <x:v>8.8</x:v>
      </x:c>
      <x:c r="N29" s="57" t="n">
        <x:f>J29*'Hypothèses &amp; sources'!$H$4</x:f>
        <x:v>8.88</x:v>
      </x:c>
      <x:c r="O29" s="57" t="n">
        <x:f>J29*'Hypothèses &amp; sources'!$I$4</x:f>
        <x:v>9.92</x:v>
      </x:c>
      <x:c r="P29" s="57" t="str">
        <x:v>Lidl</x:v>
      </x:c>
      <x:c r="Q29" s="57" t="n">
        <x:f>IF(P29="Lidl",K29,IF(P29="Super U",L29,IF(P29="Carrefour",M29,IF(P29="Auchan",N29,O29))))</x:f>
        <x:v>8</x:v>
      </x:c>
      <x:c r="R29" s="57" t="n">
        <x:f>Q29/'Hypothèses &amp; sources'!$B$4</x:f>
        <x:v>2</x:v>
      </x:c>
      <x:c r="S29" s="56" t="n">
        <x:f>MAX(0,'Hypothèses &amp; sources'!$B$5*MAX(0,MIN(100,'Hypothèses &amp; sources'!$B$10-R29*'Hypothèses &amp; sources'!$B$9))+'Hypothèses &amp; sources'!$B$6*(G29/5*100)+'Hypothèses &amp; sources'!$B$7*(H29/5*100)+'Hypothèses &amp; sources'!$B$8*MAX(0,MIN(100,'Hypothèses &amp; sources'!$B$12-E29*'Hypothèses &amp; sources'!$B$11))-T29)</x:f>
        <x:v>82.68</x:v>
      </x:c>
      <x:c r="T29" s="33" t="n">
        <x:v>0</x:v>
      </x:c>
    </x:row>
    <x:row r="30">
      <x:c r="A30" s="33" t="n">
        <x:v>26</x:v>
      </x:c>
      <x:c r="B30" s="38" t="str">
        <x:v>Oeufs cuits à la vapeur à l'asiatique</x:v>
      </x:c>
      <x:c r="C30" s="38" t="str">
        <x:v>Plat complet</x:v>
      </x:c>
      <x:c r="D30" s="38" t="str">
        <x:v>œufs</x:v>
      </x:c>
      <x:c r="E30" s="33" t="n">
        <x:v>15</x:v>
      </x:c>
      <x:c r="F30" s="33" t="n">
        <x:v>35</x:v>
      </x:c>
      <x:c r="G30" s="56" t="n">
        <x:v>3.6</x:v>
      </x:c>
      <x:c r="H30" s="56" t="n">
        <x:v>3.1</x:v>
      </x:c>
      <x:c r="I30" s="33" t="n">
        <x:v>0</x:v>
      </x:c>
      <x:c r="J30" s="57" t="n">
        <x:v>3.3</x:v>
      </x:c>
      <x:c r="K30" s="57" t="n">
        <x:f>J30*'Hypothèses &amp; sources'!$E$4</x:f>
        <x:v>3.3</x:v>
      </x:c>
      <x:c r="L30" s="57" t="n">
        <x:f>J30*'Hypothèses &amp; sources'!$F$4</x:f>
        <x:v>3.4979999999999998</x:v>
      </x:c>
      <x:c r="M30" s="57" t="n">
        <x:f>J30*'Hypothèses &amp; sources'!$G$4</x:f>
        <x:v>3.63</x:v>
      </x:c>
      <x:c r="N30" s="57" t="n">
        <x:f>J30*'Hypothèses &amp; sources'!$H$4</x:f>
        <x:v>3.6630000000000003</x:v>
      </x:c>
      <x:c r="O30" s="57" t="n">
        <x:f>J30*'Hypothèses &amp; sources'!$I$4</x:f>
        <x:v>4.092</x:v>
      </x:c>
      <x:c r="P30" s="57" t="str">
        <x:v>Lidl</x:v>
      </x:c>
      <x:c r="Q30" s="57" t="n">
        <x:f>IF(P30="Lidl",K30,IF(P30="Super U",L30,IF(P30="Carrefour",M30,IF(P30="Auchan",N30,O30))))</x:f>
        <x:v>3.3</x:v>
      </x:c>
      <x:c r="R30" s="57" t="n">
        <x:f>Q30/'Hypothèses &amp; sources'!$B$4</x:f>
        <x:v>0.825</x:v>
      </x:c>
      <x:c r="S30" s="56" t="n">
        <x:f>MAX(0,'Hypothèses &amp; sources'!$B$5*MAX(0,MIN(100,'Hypothèses &amp; sources'!$B$10-R30*'Hypothèses &amp; sources'!$B$9))+'Hypothèses &amp; sources'!$B$6*(G30/5*100)+'Hypothèses &amp; sources'!$B$7*(H30/5*100)+'Hypothèses &amp; sources'!$B$8*MAX(0,MIN(100,'Hypothèses &amp; sources'!$B$12-E30*'Hypothèses &amp; sources'!$B$11))-T30)</x:f>
        <x:v>82.56</x:v>
      </x:c>
      <x:c r="T30" s="33" t="n">
        <x:v>0</x:v>
      </x:c>
    </x:row>
    <x:row r="31">
      <x:c r="A31" s="33" t="n">
        <x:v>27</x:v>
      </x:c>
      <x:c r="B31" s="38" t="str">
        <x:v>Makai nu shaak/épis de mais au curry d'arrachides</x:v>
      </x:c>
      <x:c r="C31" s="38" t="str">
        <x:v>Curry / végétarien</x:v>
      </x:c>
      <x:c r="D31" s="38" t="str">
        <x:v>maïs, cacahuètes, tomate, oignon, épices</x:v>
      </x:c>
      <x:c r="E31" s="33" t="n">
        <x:v>20</x:v>
      </x:c>
      <x:c r="F31" s="33" t="n">
        <x:v>40</x:v>
      </x:c>
      <x:c r="G31" s="56" t="n">
        <x:v>4</x:v>
      </x:c>
      <x:c r="H31" s="56" t="n">
        <x:v>4</x:v>
      </x:c>
      <x:c r="I31" s="33" t="n">
        <x:v>1</x:v>
      </x:c>
      <x:c r="J31" s="57" t="n">
        <x:v>6.5</x:v>
      </x:c>
      <x:c r="K31" s="57" t="n">
        <x:f>J31*'Hypothèses &amp; sources'!$E$4</x:f>
        <x:v>6.5</x:v>
      </x:c>
      <x:c r="L31" s="57" t="n">
        <x:f>J31*'Hypothèses &amp; sources'!$F$4</x:f>
        <x:v>6.890000000000001</x:v>
      </x:c>
      <x:c r="M31" s="57" t="n">
        <x:f>J31*'Hypothèses &amp; sources'!$G$4</x:f>
        <x:v>7.15</x:v>
      </x:c>
      <x:c r="N31" s="57" t="n">
        <x:f>J31*'Hypothèses &amp; sources'!$H$4</x:f>
        <x:v>7.215000000000001</x:v>
      </x:c>
      <x:c r="O31" s="57" t="n">
        <x:f>J31*'Hypothèses &amp; sources'!$I$4</x:f>
        <x:v>8.06</x:v>
      </x:c>
      <x:c r="P31" s="57" t="str">
        <x:v>Super U</x:v>
      </x:c>
      <x:c r="Q31" s="57" t="n">
        <x:f>IF(P31="Lidl",K31,IF(P31="Super U",L31,IF(P31="Carrefour",M31,IF(P31="Auchan",N31,O31))))</x:f>
        <x:v>6.890000000000001</x:v>
      </x:c>
      <x:c r="R31" s="57" t="n">
        <x:f>Q31/'Hypothèses &amp; sources'!$B$4</x:f>
        <x:v>1.7225000000000001</x:v>
      </x:c>
      <x:c r="S31" s="56" t="n">
        <x:f>MAX(0,'Hypothèses &amp; sources'!$B$5*MAX(0,MIN(100,'Hypothèses &amp; sources'!$B$10-R31*'Hypothèses &amp; sources'!$B$9))+'Hypothèses &amp; sources'!$B$6*(G31/5*100)+'Hypothèses &amp; sources'!$B$7*(H31/5*100)+'Hypothèses &amp; sources'!$B$8*MAX(0,MIN(100,'Hypothèses &amp; sources'!$B$12-E31*'Hypothèses &amp; sources'!$B$11))-T31)</x:f>
        <x:v>82.2386</x:v>
      </x:c>
      <x:c r="T31" s="33" t="n">
        <x:v>0</x:v>
      </x:c>
    </x:row>
    <x:row r="32">
      <x:c r="A32" s="33" t="n">
        <x:v>28</x:v>
      </x:c>
      <x:c r="B32" s="38" t="str">
        <x:v>Butternut squash risotto</x:v>
      </x:c>
      <x:c r="C32" s="38" t="str">
        <x:v>Riz / végétarien</x:v>
      </x:c>
      <x:c r="D32" s="38" t="str">
        <x:v>riz arborio, butternut, bouillon, parmesan, oignon</x:v>
      </x:c>
      <x:c r="E32" s="33" t="n">
        <x:v>20</x:v>
      </x:c>
      <x:c r="F32" s="33" t="n">
        <x:v>40</x:v>
      </x:c>
      <x:c r="G32" s="56" t="n">
        <x:v>4.2</x:v>
      </x:c>
      <x:c r="H32" s="56" t="n">
        <x:v>3.8</x:v>
      </x:c>
      <x:c r="I32" s="33" t="n">
        <x:v>0</x:v>
      </x:c>
      <x:c r="J32" s="57" t="n">
        <x:v>7.5</x:v>
      </x:c>
      <x:c r="K32" s="57" t="n">
        <x:f>J32*'Hypothèses &amp; sources'!$E$4</x:f>
        <x:v>7.5</x:v>
      </x:c>
      <x:c r="L32" s="57" t="n">
        <x:f>J32*'Hypothèses &amp; sources'!$F$4</x:f>
        <x:v>7.95</x:v>
      </x:c>
      <x:c r="M32" s="57" t="n">
        <x:f>J32*'Hypothèses &amp; sources'!$G$4</x:f>
        <x:v>8.25</x:v>
      </x:c>
      <x:c r="N32" s="57" t="n">
        <x:f>J32*'Hypothèses &amp; sources'!$H$4</x:f>
        <x:v>8.325000000000001</x:v>
      </x:c>
      <x:c r="O32" s="57" t="n">
        <x:f>J32*'Hypothèses &amp; sources'!$I$4</x:f>
        <x:v>9.3</x:v>
      </x:c>
      <x:c r="P32" s="57" t="str">
        <x:v>Lidl</x:v>
      </x:c>
      <x:c r="Q32" s="57" t="n">
        <x:f>IF(P32="Lidl",K32,IF(P32="Super U",L32,IF(P32="Carrefour",M32,IF(P32="Auchan",N32,O32))))</x:f>
        <x:v>7.5</x:v>
      </x:c>
      <x:c r="R32" s="57" t="n">
        <x:f>Q32/'Hypothèses &amp; sources'!$B$4</x:f>
        <x:v>1.875</x:v>
      </x:c>
      <x:c r="S32" s="56" t="n">
        <x:f>MAX(0,'Hypothèses &amp; sources'!$B$5*MAX(0,MIN(100,'Hypothèses &amp; sources'!$B$10-R32*'Hypothèses &amp; sources'!$B$9))+'Hypothèses &amp; sources'!$B$6*(G32/5*100)+'Hypothèses &amp; sources'!$B$7*(H32/5*100)+'Hypothèses &amp; sources'!$B$8*MAX(0,MIN(100,'Hypothèses &amp; sources'!$B$12-E32*'Hypothèses &amp; sources'!$B$11))-T32)</x:f>
        <x:v>81.87000000000002</x:v>
      </x:c>
      <x:c r="T32" s="33" t="n">
        <x:v>0</x:v>
      </x:c>
    </x:row>
    <x:row r="33">
      <x:c r="A33" s="33" t="n">
        <x:v>29</x:v>
      </x:c>
      <x:c r="B33" s="38" t="str">
        <x:v>Mexican noodle soup</x:v>
      </x:c>
      <x:c r="C33" s="38" t="str">
        <x:v>Soupe / bouillon</x:v>
      </x:c>
      <x:c r="D33" s="38" t="str">
        <x:v>bouillon, oignon, pâtes / nouilles, légumes</x:v>
      </x:c>
      <x:c r="E33" s="33" t="n">
        <x:v>15</x:v>
      </x:c>
      <x:c r="F33" s="33" t="n">
        <x:v>35</x:v>
      </x:c>
      <x:c r="G33" s="56" t="n">
        <x:v>3.5</x:v>
      </x:c>
      <x:c r="H33" s="56" t="n">
        <x:v>3.5</x:v>
      </x:c>
      <x:c r="I33" s="33" t="n">
        <x:v>0</x:v>
      </x:c>
      <x:c r="J33" s="57" t="n">
        <x:v>4.6</x:v>
      </x:c>
      <x:c r="K33" s="57" t="n">
        <x:f>J33*'Hypothèses &amp; sources'!$E$4</x:f>
        <x:v>4.6</x:v>
      </x:c>
      <x:c r="L33" s="57" t="n">
        <x:f>J33*'Hypothèses &amp; sources'!$F$4</x:f>
        <x:v>4.8759999999999994</x:v>
      </x:c>
      <x:c r="M33" s="57" t="n">
        <x:f>J33*'Hypothèses &amp; sources'!$G$4</x:f>
        <x:v>5.06</x:v>
      </x:c>
      <x:c r="N33" s="57" t="n">
        <x:f>J33*'Hypothèses &amp; sources'!$H$4</x:f>
        <x:v>5.106</x:v>
      </x:c>
      <x:c r="O33" s="57" t="n">
        <x:f>J33*'Hypothèses &amp; sources'!$I$4</x:f>
        <x:v>5.704</x:v>
      </x:c>
      <x:c r="P33" s="57" t="str">
        <x:v>Lidl</x:v>
      </x:c>
      <x:c r="Q33" s="57" t="n">
        <x:f>IF(P33="Lidl",K33,IF(P33="Super U",L33,IF(P33="Carrefour",M33,IF(P33="Auchan",N33,O33))))</x:f>
        <x:v>4.6</x:v>
      </x:c>
      <x:c r="R33" s="57" t="n">
        <x:f>Q33/'Hypothèses &amp; sources'!$B$4</x:f>
        <x:v>1.15</x:v>
      </x:c>
      <x:c r="S33" s="56" t="n">
        <x:f>MAX(0,'Hypothèses &amp; sources'!$B$5*MAX(0,MIN(100,'Hypothèses &amp; sources'!$B$10-R33*'Hypothèses &amp; sources'!$B$9))+'Hypothèses &amp; sources'!$B$6*(G33/5*100)+'Hypothèses &amp; sources'!$B$7*(H33/5*100)+'Hypothèses &amp; sources'!$B$8*MAX(0,MIN(100,'Hypothèses &amp; sources'!$B$12-E33*'Hypothèses &amp; sources'!$B$11))-T33)</x:f>
        <x:v>81.844</x:v>
      </x:c>
      <x:c r="T33" s="33" t="n">
        <x:v>0</x:v>
      </x:c>
    </x:row>
    <x:row r="34">
      <x:c r="A34" s="33" t="n">
        <x:v>30</x:v>
      </x:c>
      <x:c r="B34" s="38" t="str">
        <x:v>Fajitas au poulet</x:v>
      </x:c>
      <x:c r="C34" s="38" t="str">
        <x:v>Tacos / poulet</x:v>
      </x:c>
      <x:c r="D34" s="38" t="str">
        <x:v>poulet, poivrons, oignon, tortillas, citron vert, épices</x:v>
      </x:c>
      <x:c r="E34" s="33" t="n">
        <x:v>20</x:v>
      </x:c>
      <x:c r="F34" s="33" t="n">
        <x:v>30</x:v>
      </x:c>
      <x:c r="G34" s="56" t="n">
        <x:v>4.5</x:v>
      </x:c>
      <x:c r="H34" s="56" t="n">
        <x:v>4.2</x:v>
      </x:c>
      <x:c r="I34" s="33" t="n">
        <x:v>0</x:v>
      </x:c>
      <x:c r="J34" s="57" t="n">
        <x:v>10</x:v>
      </x:c>
      <x:c r="K34" s="57" t="n">
        <x:f>J34*'Hypothèses &amp; sources'!$E$4</x:f>
        <x:v>10</x:v>
      </x:c>
      <x:c r="L34" s="57" t="n">
        <x:f>J34*'Hypothèses &amp; sources'!$F$4</x:f>
        <x:v>10.600000000000001</x:v>
      </x:c>
      <x:c r="M34" s="57" t="n">
        <x:f>J34*'Hypothèses &amp; sources'!$G$4</x:f>
        <x:v>11</x:v>
      </x:c>
      <x:c r="N34" s="57" t="n">
        <x:f>J34*'Hypothèses &amp; sources'!$H$4</x:f>
        <x:v>11.100000000000001</x:v>
      </x:c>
      <x:c r="O34" s="57" t="n">
        <x:f>J34*'Hypothèses &amp; sources'!$I$4</x:f>
        <x:v>12.4</x:v>
      </x:c>
      <x:c r="P34" s="57" t="str">
        <x:v>Lidl</x:v>
      </x:c>
      <x:c r="Q34" s="57" t="n">
        <x:f>IF(P34="Lidl",K34,IF(P34="Super U",L34,IF(P34="Carrefour",M34,IF(P34="Auchan",N34,O34))))</x:f>
        <x:v>10</x:v>
      </x:c>
      <x:c r="R34" s="57" t="n">
        <x:f>Q34/'Hypothèses &amp; sources'!$B$4</x:f>
        <x:v>2.5</x:v>
      </x:c>
      <x:c r="S34" s="56" t="n">
        <x:f>MAX(0,'Hypothèses &amp; sources'!$B$5*MAX(0,MIN(100,'Hypothèses &amp; sources'!$B$10-R34*'Hypothèses &amp; sources'!$B$9))+'Hypothèses &amp; sources'!$B$6*(G34/5*100)+'Hypothèses &amp; sources'!$B$7*(H34/5*100)+'Hypothèses &amp; sources'!$B$8*MAX(0,MIN(100,'Hypothèses &amp; sources'!$B$12-E34*'Hypothèses &amp; sources'!$B$11))-T34)</x:f>
        <x:v>81.84</x:v>
      </x:c>
      <x:c r="T34" s="33" t="n">
        <x:v>0</x:v>
      </x:c>
    </x:row>
    <x:row r="35">
      <x:c r="A35" s="33" t="n">
        <x:v>31</x:v>
      </x:c>
      <x:c r="B35" s="38" t="str">
        <x:v>Garlic potatoes</x:v>
      </x:c>
      <x:c r="C35" s="38" t="str">
        <x:v>Plat complet</x:v>
      </x:c>
      <x:c r="D35" s="38" t="str">
        <x:v>ail, pommes de terre</x:v>
      </x:c>
      <x:c r="E35" s="33" t="n">
        <x:v>20</x:v>
      </x:c>
      <x:c r="F35" s="33" t="n">
        <x:v>40</x:v>
      </x:c>
      <x:c r="G35" s="56" t="n">
        <x:v>3.7</x:v>
      </x:c>
      <x:c r="H35" s="56" t="n">
        <x:v>3.1</x:v>
      </x:c>
      <x:c r="I35" s="33" t="n">
        <x:v>0</x:v>
      </x:c>
      <x:c r="J35" s="57" t="n">
        <x:v>3.2</x:v>
      </x:c>
      <x:c r="K35" s="57" t="n">
        <x:f>J35*'Hypothèses &amp; sources'!$E$4</x:f>
        <x:v>3.2</x:v>
      </x:c>
      <x:c r="L35" s="57" t="n">
        <x:f>J35*'Hypothèses &amp; sources'!$F$4</x:f>
        <x:v>3.3920000000000003</x:v>
      </x:c>
      <x:c r="M35" s="57" t="n">
        <x:f>J35*'Hypothèses &amp; sources'!$G$4</x:f>
        <x:v>3.5200000000000005</x:v>
      </x:c>
      <x:c r="N35" s="57" t="n">
        <x:f>J35*'Hypothèses &amp; sources'!$H$4</x:f>
        <x:v>3.5520000000000005</x:v>
      </x:c>
      <x:c r="O35" s="57" t="n">
        <x:f>J35*'Hypothèses &amp; sources'!$I$4</x:f>
        <x:v>3.968</x:v>
      </x:c>
      <x:c r="P35" s="57" t="str">
        <x:v>Lidl</x:v>
      </x:c>
      <x:c r="Q35" s="57" t="n">
        <x:f>IF(P35="Lidl",K35,IF(P35="Super U",L35,IF(P35="Carrefour",M35,IF(P35="Auchan",N35,O35))))</x:f>
        <x:v>3.2</x:v>
      </x:c>
      <x:c r="R35" s="57" t="n">
        <x:f>Q35/'Hypothèses &amp; sources'!$B$4</x:f>
        <x:v>0.8</x:v>
      </x:c>
      <x:c r="S35" s="56" t="n">
        <x:f>MAX(0,'Hypothèses &amp; sources'!$B$5*MAX(0,MIN(100,'Hypothèses &amp; sources'!$B$10-R35*'Hypothèses &amp; sources'!$B$9))+'Hypothèses &amp; sources'!$B$6*(G35/5*100)+'Hypothèses &amp; sources'!$B$7*(H35/5*100)+'Hypothèses &amp; sources'!$B$8*MAX(0,MIN(100,'Hypothèses &amp; sources'!$B$12-E35*'Hypothèses &amp; sources'!$B$11))-T35)</x:f>
        <x:v>81.8</x:v>
      </x:c>
      <x:c r="T35" s="33" t="n">
        <x:v>0</x:v>
      </x:c>
    </x:row>
    <x:row r="36">
      <x:c r="A36" s="33" t="n">
        <x:v>32</x:v>
      </x:c>
      <x:c r="B36" s="38" t="str">
        <x:v>Soupe de pomme de terre et de mais</x:v>
      </x:c>
      <x:c r="C36" s="38" t="str">
        <x:v>Soupe / bouillon</x:v>
      </x:c>
      <x:c r="D36" s="38" t="str">
        <x:v>bouillon, oignon, pommes de terre, maïs</x:v>
      </x:c>
      <x:c r="E36" s="33" t="n">
        <x:v>15</x:v>
      </x:c>
      <x:c r="F36" s="33" t="n">
        <x:v>35</x:v>
      </x:c>
      <x:c r="G36" s="56" t="n">
        <x:v>3.7</x:v>
      </x:c>
      <x:c r="H36" s="56" t="n">
        <x:v>3.3</x:v>
      </x:c>
      <x:c r="I36" s="33" t="n">
        <x:v>0</x:v>
      </x:c>
      <x:c r="J36" s="57" t="n">
        <x:v>5.3</x:v>
      </x:c>
      <x:c r="K36" s="57" t="n">
        <x:f>J36*'Hypothèses &amp; sources'!$E$4</x:f>
        <x:v>5.3</x:v>
      </x:c>
      <x:c r="L36" s="57" t="n">
        <x:f>J36*'Hypothèses &amp; sources'!$F$4</x:f>
        <x:v>5.618</x:v>
      </x:c>
      <x:c r="M36" s="57" t="n">
        <x:f>J36*'Hypothèses &amp; sources'!$G$4</x:f>
        <x:v>5.83</x:v>
      </x:c>
      <x:c r="N36" s="57" t="n">
        <x:f>J36*'Hypothèses &amp; sources'!$H$4</x:f>
        <x:v>5.883</x:v>
      </x:c>
      <x:c r="O36" s="57" t="n">
        <x:f>J36*'Hypothèses &amp; sources'!$I$4</x:f>
        <x:v>6.572</x:v>
      </x:c>
      <x:c r="P36" s="57" t="str">
        <x:v>Lidl</x:v>
      </x:c>
      <x:c r="Q36" s="57" t="n">
        <x:f>IF(P36="Lidl",K36,IF(P36="Super U",L36,IF(P36="Carrefour",M36,IF(P36="Auchan",N36,O36))))</x:f>
        <x:v>5.3</x:v>
      </x:c>
      <x:c r="R36" s="57" t="n">
        <x:f>Q36/'Hypothèses &amp; sources'!$B$4</x:f>
        <x:v>1.325</x:v>
      </x:c>
      <x:c r="S36" s="56" t="n">
        <x:f>MAX(0,'Hypothèses &amp; sources'!$B$5*MAX(0,MIN(100,'Hypothèses &amp; sources'!$B$10-R36*'Hypothèses &amp; sources'!$B$9))+'Hypothèses &amp; sources'!$B$6*(G36/5*100)+'Hypothèses &amp; sources'!$B$7*(H36/5*100)+'Hypothèses &amp; sources'!$B$8*MAX(0,MIN(100,'Hypothèses &amp; sources'!$B$12-E36*'Hypothèses &amp; sources'!$B$11))-T36)</x:f>
        <x:v>81.362</x:v>
      </x:c>
      <x:c r="T36" s="33" t="n">
        <x:v>0</x:v>
      </x:c>
    </x:row>
    <x:row r="37">
      <x:c r="A37" s="33" t="n">
        <x:v>33</x:v>
      </x:c>
      <x:c r="B37" s="38" t="str">
        <x:v>Soupe aux œufs</x:v>
      </x:c>
      <x:c r="C37" s="38" t="str">
        <x:v>Plat complet</x:v>
      </x:c>
      <x:c r="D37" s="38" t="str">
        <x:v>œufs</x:v>
      </x:c>
      <x:c r="E37" s="33" t="n">
        <x:v>20</x:v>
      </x:c>
      <x:c r="F37" s="33" t="n">
        <x:v>40</x:v>
      </x:c>
      <x:c r="G37" s="56" t="n">
        <x:v>3.6</x:v>
      </x:c>
      <x:c r="H37" s="56" t="n">
        <x:v>3.1</x:v>
      </x:c>
      <x:c r="I37" s="33" t="n">
        <x:v>0</x:v>
      </x:c>
      <x:c r="J37" s="57" t="n">
        <x:v>3.3</x:v>
      </x:c>
      <x:c r="K37" s="57" t="n">
        <x:f>J37*'Hypothèses &amp; sources'!$E$4</x:f>
        <x:v>3.3</x:v>
      </x:c>
      <x:c r="L37" s="57" t="n">
        <x:f>J37*'Hypothèses &amp; sources'!$F$4</x:f>
        <x:v>3.4979999999999998</x:v>
      </x:c>
      <x:c r="M37" s="57" t="n">
        <x:f>J37*'Hypothèses &amp; sources'!$G$4</x:f>
        <x:v>3.63</x:v>
      </x:c>
      <x:c r="N37" s="57" t="n">
        <x:f>J37*'Hypothèses &amp; sources'!$H$4</x:f>
        <x:v>3.6630000000000003</x:v>
      </x:c>
      <x:c r="O37" s="57" t="n">
        <x:f>J37*'Hypothèses &amp; sources'!$I$4</x:f>
        <x:v>4.092</x:v>
      </x:c>
      <x:c r="P37" s="57" t="str">
        <x:v>Lidl</x:v>
      </x:c>
      <x:c r="Q37" s="57" t="n">
        <x:f>IF(P37="Lidl",K37,IF(P37="Super U",L37,IF(P37="Carrefour",M37,IF(P37="Auchan",N37,O37))))</x:f>
        <x:v>3.3</x:v>
      </x:c>
      <x:c r="R37" s="57" t="n">
        <x:f>Q37/'Hypothèses &amp; sources'!$B$4</x:f>
        <x:v>0.825</x:v>
      </x:c>
      <x:c r="S37" s="56" t="n">
        <x:f>MAX(0,'Hypothèses &amp; sources'!$B$5*MAX(0,MIN(100,'Hypothèses &amp; sources'!$B$10-R37*'Hypothèses &amp; sources'!$B$9))+'Hypothèses &amp; sources'!$B$6*(G37/5*100)+'Hypothèses &amp; sources'!$B$7*(H37/5*100)+'Hypothèses &amp; sources'!$B$8*MAX(0,MIN(100,'Hypothèses &amp; sources'!$B$12-E37*'Hypothèses &amp; sources'!$B$11))-T37)</x:f>
        <x:v>81.24000000000001</x:v>
      </x:c>
      <x:c r="T37" s="33" t="n">
        <x:v>0</x:v>
      </x:c>
    </x:row>
    <x:row r="38">
      <x:c r="A38" s="33" t="n">
        <x:v>34</x:v>
      </x:c>
      <x:c r="B38" s="38" t="str">
        <x:v>Tinga de chou-fleur</x:v>
      </x:c>
      <x:c r="C38" s="38" t="str">
        <x:v>Tacos / végétarien</x:v>
      </x:c>
      <x:c r="D38" s="38" t="str">
        <x:v>chou-fleur, tomates, chipotle, oignon, tortillas, avocat ou crème</x:v>
      </x:c>
      <x:c r="E38" s="33" t="n">
        <x:v>20</x:v>
      </x:c>
      <x:c r="F38" s="33" t="n">
        <x:v>35</x:v>
      </x:c>
      <x:c r="G38" s="56" t="n">
        <x:v>3.8</x:v>
      </x:c>
      <x:c r="H38" s="56" t="n">
        <x:v>4.2</x:v>
      </x:c>
      <x:c r="I38" s="33" t="n">
        <x:v>1</x:v>
      </x:c>
      <x:c r="J38" s="57" t="n">
        <x:v>7</x:v>
      </x:c>
      <x:c r="K38" s="57" t="n">
        <x:f>J38*'Hypothèses &amp; sources'!$E$4</x:f>
        <x:v>7</x:v>
      </x:c>
      <x:c r="L38" s="57" t="n">
        <x:f>J38*'Hypothèses &amp; sources'!$F$4</x:f>
        <x:v>7.42</x:v>
      </x:c>
      <x:c r="M38" s="57" t="n">
        <x:f>J38*'Hypothèses &amp; sources'!$G$4</x:f>
        <x:v>7.700000000000001</x:v>
      </x:c>
      <x:c r="N38" s="57" t="n">
        <x:f>J38*'Hypothèses &amp; sources'!$H$4</x:f>
        <x:v>7.7700000000000005</x:v>
      </x:c>
      <x:c r="O38" s="57" t="n">
        <x:f>J38*'Hypothèses &amp; sources'!$I$4</x:f>
        <x:v>8.68</x:v>
      </x:c>
      <x:c r="P38" s="57" t="str">
        <x:v>Super U</x:v>
      </x:c>
      <x:c r="Q38" s="57" t="n">
        <x:f>IF(P38="Lidl",K38,IF(P38="Super U",L38,IF(P38="Carrefour",M38,IF(P38="Auchan",N38,O38))))</x:f>
        <x:v>7.42</x:v>
      </x:c>
      <x:c r="R38" s="57" t="n">
        <x:f>Q38/'Hypothèses &amp; sources'!$B$4</x:f>
        <x:v>1.855</x:v>
      </x:c>
      <x:c r="S38" s="56" t="n">
        <x:f>MAX(0,'Hypothèses &amp; sources'!$B$5*MAX(0,MIN(100,'Hypothèses &amp; sources'!$B$10-R38*'Hypothèses &amp; sources'!$B$9))+'Hypothèses &amp; sources'!$B$6*(G38/5*100)+'Hypothèses &amp; sources'!$B$7*(H38/5*100)+'Hypothèses &amp; sources'!$B$8*MAX(0,MIN(100,'Hypothèses &amp; sources'!$B$12-E38*'Hypothèses &amp; sources'!$B$11))-T38)</x:f>
        <x:v>81.1708</x:v>
      </x:c>
      <x:c r="T38" s="33" t="n">
        <x:v>0</x:v>
      </x:c>
    </x:row>
    <x:row r="39">
      <x:c r="A39" s="33" t="n">
        <x:v>35</x:v>
      </x:c>
      <x:c r="B39" s="38" t="str">
        <x:v>Soupe de mais mexicaine de rue</x:v>
      </x:c>
      <x:c r="C39" s="38" t="str">
        <x:v>Soupe / végétarien</x:v>
      </x:c>
      <x:c r="D39" s="38" t="str">
        <x:v>maïs, pommes de terre, bouillon, crème, fromage, citron vert</x:v>
      </x:c>
      <x:c r="E39" s="33" t="n">
        <x:v>15</x:v>
      </x:c>
      <x:c r="F39" s="33" t="n">
        <x:v>40</x:v>
      </x:c>
      <x:c r="G39" s="56" t="n">
        <x:v>4</x:v>
      </x:c>
      <x:c r="H39" s="56" t="n">
        <x:v>3.5</x:v>
      </x:c>
      <x:c r="I39" s="33" t="n">
        <x:v>1</x:v>
      </x:c>
      <x:c r="J39" s="57" t="n">
        <x:v>7</x:v>
      </x:c>
      <x:c r="K39" s="57" t="n">
        <x:f>J39*'Hypothèses &amp; sources'!$E$4</x:f>
        <x:v>7</x:v>
      </x:c>
      <x:c r="L39" s="57" t="n">
        <x:f>J39*'Hypothèses &amp; sources'!$F$4</x:f>
        <x:v>7.42</x:v>
      </x:c>
      <x:c r="M39" s="57" t="n">
        <x:f>J39*'Hypothèses &amp; sources'!$G$4</x:f>
        <x:v>7.700000000000001</x:v>
      </x:c>
      <x:c r="N39" s="57" t="n">
        <x:f>J39*'Hypothèses &amp; sources'!$H$4</x:f>
        <x:v>7.7700000000000005</x:v>
      </x:c>
      <x:c r="O39" s="57" t="n">
        <x:f>J39*'Hypothèses &amp; sources'!$I$4</x:f>
        <x:v>8.68</x:v>
      </x:c>
      <x:c r="P39" s="57" t="str">
        <x:v>Super U</x:v>
      </x:c>
      <x:c r="Q39" s="57" t="n">
        <x:f>IF(P39="Lidl",K39,IF(P39="Super U",L39,IF(P39="Carrefour",M39,IF(P39="Auchan",N39,O39))))</x:f>
        <x:v>7.42</x:v>
      </x:c>
      <x:c r="R39" s="57" t="n">
        <x:f>Q39/'Hypothèses &amp; sources'!$B$4</x:f>
        <x:v>1.855</x:v>
      </x:c>
      <x:c r="S39" s="56" t="n">
        <x:f>MAX(0,'Hypothèses &amp; sources'!$B$5*MAX(0,MIN(100,'Hypothèses &amp; sources'!$B$10-R39*'Hypothèses &amp; sources'!$B$9))+'Hypothèses &amp; sources'!$B$6*(G39/5*100)+'Hypothèses &amp; sources'!$B$7*(H39/5*100)+'Hypothèses &amp; sources'!$B$8*MAX(0,MIN(100,'Hypothèses &amp; sources'!$B$12-E39*'Hypothèses &amp; sources'!$B$11))-T39)</x:f>
        <x:v>81.09079999999999</x:v>
      </x:c>
      <x:c r="T39" s="33" t="n">
        <x:v>0</x:v>
      </x:c>
    </x:row>
    <x:row r="40">
      <x:c r="A40" s="33" t="n">
        <x:v>36</x:v>
      </x:c>
      <x:c r="B40" s="38" t="str">
        <x:v>Chili con carne</x:v>
      </x:c>
      <x:c r="C40" s="38" t="str">
        <x:v>Mijoté / chili</x:v>
      </x:c>
      <x:c r="D40" s="38" t="str">
        <x:v>bœuf haché, haricots rouges, tomates, oignon, épices chili</x:v>
      </x:c>
      <x:c r="E40" s="33" t="n">
        <x:v>20</x:v>
      </x:c>
      <x:c r="F40" s="33" t="n">
        <x:v>50</x:v>
      </x:c>
      <x:c r="G40" s="56" t="n">
        <x:v>5</x:v>
      </x:c>
      <x:c r="H40" s="56" t="n">
        <x:v>4.3</x:v>
      </x:c>
      <x:c r="I40" s="33" t="n">
        <x:v>0</x:v>
      </x:c>
      <x:c r="J40" s="57" t="n">
        <x:v>13.2</x:v>
      </x:c>
      <x:c r="K40" s="57" t="n">
        <x:f>J40*'Hypothèses &amp; sources'!$E$4</x:f>
        <x:v>13.2</x:v>
      </x:c>
      <x:c r="L40" s="57" t="n">
        <x:f>J40*'Hypothèses &amp; sources'!$F$4</x:f>
        <x:v>13.991999999999999</x:v>
      </x:c>
      <x:c r="M40" s="57" t="n">
        <x:f>J40*'Hypothèses &amp; sources'!$G$4</x:f>
        <x:v>14.52</x:v>
      </x:c>
      <x:c r="N40" s="57" t="n">
        <x:f>J40*'Hypothèses &amp; sources'!$H$4</x:f>
        <x:v>14.652000000000001</x:v>
      </x:c>
      <x:c r="O40" s="57" t="n">
        <x:f>J40*'Hypothèses &amp; sources'!$I$4</x:f>
        <x:v>16.368</x:v>
      </x:c>
      <x:c r="P40" s="57" t="str">
        <x:v>Lidl</x:v>
      </x:c>
      <x:c r="Q40" s="57" t="n">
        <x:f>IF(P40="Lidl",K40,IF(P40="Super U",L40,IF(P40="Carrefour",M40,IF(P40="Auchan",N40,O40))))</x:f>
        <x:v>13.2</x:v>
      </x:c>
      <x:c r="R40" s="57" t="n">
        <x:f>Q40/'Hypothèses &amp; sources'!$B$4</x:f>
        <x:v>3.3</x:v>
      </x:c>
      <x:c r="S40" s="56" t="n">
        <x:f>MAX(0,'Hypothèses &amp; sources'!$B$5*MAX(0,MIN(100,'Hypothèses &amp; sources'!$B$10-R40*'Hypothèses &amp; sources'!$B$9))+'Hypothèses &amp; sources'!$B$6*(G40/5*100)+'Hypothèses &amp; sources'!$B$7*(H40/5*100)+'Hypothèses &amp; sources'!$B$8*MAX(0,MIN(100,'Hypothèses &amp; sources'!$B$12-E40*'Hypothèses &amp; sources'!$B$11))-T40)</x:f>
        <x:v>80.968</x:v>
      </x:c>
      <x:c r="T40" s="33" t="n">
        <x:v>0</x:v>
      </x:c>
    </x:row>
    <x:row r="41">
      <x:c r="A41" s="33" t="n">
        <x:v>37</x:v>
      </x:c>
      <x:c r="B41" s="38" t="str">
        <x:v>Mexican chili eggs</x:v>
      </x:c>
      <x:c r="C41" s="38" t="str">
        <x:v>Plat complet</x:v>
      </x:c>
      <x:c r="D41" s="38" t="str">
        <x:v>piment / chili, œufs</x:v>
      </x:c>
      <x:c r="E41" s="33" t="n">
        <x:v>20</x:v>
      </x:c>
      <x:c r="F41" s="33" t="n">
        <x:v>40</x:v>
      </x:c>
      <x:c r="G41" s="56" t="n">
        <x:v>3.6</x:v>
      </x:c>
      <x:c r="H41" s="56" t="n">
        <x:v>3.1</x:v>
      </x:c>
      <x:c r="I41" s="33" t="n">
        <x:v>0</x:v>
      </x:c>
      <x:c r="J41" s="57" t="n">
        <x:v>3.8</x:v>
      </x:c>
      <x:c r="K41" s="57" t="n">
        <x:f>J41*'Hypothèses &amp; sources'!$E$4</x:f>
        <x:v>3.8</x:v>
      </x:c>
      <x:c r="L41" s="57" t="n">
        <x:f>J41*'Hypothèses &amp; sources'!$F$4</x:f>
        <x:v>4.028</x:v>
      </x:c>
      <x:c r="M41" s="57" t="n">
        <x:f>J41*'Hypothèses &amp; sources'!$G$4</x:f>
        <x:v>4.18</x:v>
      </x:c>
      <x:c r="N41" s="57" t="n">
        <x:f>J41*'Hypothèses &amp; sources'!$H$4</x:f>
        <x:v>4.218</x:v>
      </x:c>
      <x:c r="O41" s="57" t="n">
        <x:f>J41*'Hypothèses &amp; sources'!$I$4</x:f>
        <x:v>4.712</x:v>
      </x:c>
      <x:c r="P41" s="57" t="str">
        <x:v>Lidl</x:v>
      </x:c>
      <x:c r="Q41" s="57" t="n">
        <x:f>IF(P41="Lidl",K41,IF(P41="Super U",L41,IF(P41="Carrefour",M41,IF(P41="Auchan",N41,O41))))</x:f>
        <x:v>3.8</x:v>
      </x:c>
      <x:c r="R41" s="57" t="n">
        <x:f>Q41/'Hypothèses &amp; sources'!$B$4</x:f>
        <x:v>0.95</x:v>
      </x:c>
      <x:c r="S41" s="56" t="n">
        <x:f>MAX(0,'Hypothèses &amp; sources'!$B$5*MAX(0,MIN(100,'Hypothèses &amp; sources'!$B$10-R41*'Hypothèses &amp; sources'!$B$9))+'Hypothèses &amp; sources'!$B$6*(G41/5*100)+'Hypothèses &amp; sources'!$B$7*(H41/5*100)+'Hypothèses &amp; sources'!$B$8*MAX(0,MIN(100,'Hypothèses &amp; sources'!$B$12-E41*'Hypothèses &amp; sources'!$B$11))-T41)</x:f>
        <x:v>80.652</x:v>
      </x:c>
      <x:c r="T41" s="33" t="n">
        <x:v>0</x:v>
      </x:c>
    </x:row>
    <x:row r="42">
      <x:c r="A42" s="33" t="n">
        <x:v>38</x:v>
      </x:c>
      <x:c r="B42" s="38" t="str">
        <x:v>Soupe aux champignons facile</x:v>
      </x:c>
      <x:c r="C42" s="38" t="str">
        <x:v>Soupe / bouillon</x:v>
      </x:c>
      <x:c r="D42" s="38" t="str">
        <x:v>bouillon, oignon, champignons</x:v>
      </x:c>
      <x:c r="E42" s="33" t="n">
        <x:v>10</x:v>
      </x:c>
      <x:c r="F42" s="33" t="n">
        <x:v>25</x:v>
      </x:c>
      <x:c r="G42" s="56" t="n">
        <x:v>3.2</x:v>
      </x:c>
      <x:c r="H42" s="56" t="n">
        <x:v>3.3</x:v>
      </x:c>
      <x:c r="I42" s="33" t="n">
        <x:v>0</x:v>
      </x:c>
      <x:c r="J42" s="57" t="n">
        <x:v>4.7</x:v>
      </x:c>
      <x:c r="K42" s="57" t="n">
        <x:f>J42*'Hypothèses &amp; sources'!$E$4</x:f>
        <x:v>4.7</x:v>
      </x:c>
      <x:c r="L42" s="57" t="n">
        <x:f>J42*'Hypothèses &amp; sources'!$F$4</x:f>
        <x:v>4.982</x:v>
      </x:c>
      <x:c r="M42" s="57" t="n">
        <x:f>J42*'Hypothèses &amp; sources'!$G$4</x:f>
        <x:v>5.170000000000001</x:v>
      </x:c>
      <x:c r="N42" s="57" t="n">
        <x:f>J42*'Hypothèses &amp; sources'!$H$4</x:f>
        <x:v>5.2170000000000005</x:v>
      </x:c>
      <x:c r="O42" s="57" t="n">
        <x:f>J42*'Hypothèses &amp; sources'!$I$4</x:f>
        <x:v>5.828</x:v>
      </x:c>
      <x:c r="P42" s="57" t="str">
        <x:v>Lidl</x:v>
      </x:c>
      <x:c r="Q42" s="57" t="n">
        <x:f>IF(P42="Lidl",K42,IF(P42="Super U",L42,IF(P42="Carrefour",M42,IF(P42="Auchan",N42,O42))))</x:f>
        <x:v>4.7</x:v>
      </x:c>
      <x:c r="R42" s="57" t="n">
        <x:f>Q42/'Hypothèses &amp; sources'!$B$4</x:f>
        <x:v>1.175</x:v>
      </x:c>
      <x:c r="S42" s="56" t="n">
        <x:f>MAX(0,'Hypothèses &amp; sources'!$B$5*MAX(0,MIN(100,'Hypothèses &amp; sources'!$B$10-R42*'Hypothèses &amp; sources'!$B$9))+'Hypothèses &amp; sources'!$B$6*(G42/5*100)+'Hypothèses &amp; sources'!$B$7*(H42/5*100)+'Hypothèses &amp; sources'!$B$8*MAX(0,MIN(100,'Hypothèses &amp; sources'!$B$12-E42*'Hypothèses &amp; sources'!$B$11))-T42)</x:f>
        <x:v>80.638</x:v>
      </x:c>
      <x:c r="T42" s="33" t="n">
        <x:v>0</x:v>
      </x:c>
    </x:row>
    <x:row r="43">
      <x:c r="A43" s="33" t="n">
        <x:v>39</x:v>
      </x:c>
      <x:c r="B43" s="38" t="str">
        <x:v>Thai chicken fried rice</x:v>
      </x:c>
      <x:c r="C43" s="38" t="str">
        <x:v>Plat complet</x:v>
      </x:c>
      <x:c r="D43" s="38" t="str">
        <x:v>riz, poulet</x:v>
      </x:c>
      <x:c r="E43" s="33" t="n">
        <x:v>20</x:v>
      </x:c>
      <x:c r="F43" s="33" t="n">
        <x:v>40</x:v>
      </x:c>
      <x:c r="G43" s="56" t="n">
        <x:v>4.3</x:v>
      </x:c>
      <x:c r="H43" s="56" t="n">
        <x:v>3.5</x:v>
      </x:c>
      <x:c r="I43" s="33" t="n">
        <x:v>0</x:v>
      </x:c>
      <x:c r="J43" s="57" t="n">
        <x:v>8.2</x:v>
      </x:c>
      <x:c r="K43" s="57" t="n">
        <x:f>J43*'Hypothèses &amp; sources'!$E$4</x:f>
        <x:v>8.2</x:v>
      </x:c>
      <x:c r="L43" s="57" t="n">
        <x:f>J43*'Hypothèses &amp; sources'!$F$4</x:f>
        <x:v>8.692</x:v>
      </x:c>
      <x:c r="M43" s="57" t="n">
        <x:f>J43*'Hypothèses &amp; sources'!$G$4</x:f>
        <x:v>9.02</x:v>
      </x:c>
      <x:c r="N43" s="57" t="n">
        <x:f>J43*'Hypothèses &amp; sources'!$H$4</x:f>
        <x:v>9.102</x:v>
      </x:c>
      <x:c r="O43" s="57" t="n">
        <x:f>J43*'Hypothèses &amp; sources'!$I$4</x:f>
        <x:v>10.168</x:v>
      </x:c>
      <x:c r="P43" s="57" t="str">
        <x:v>Lidl</x:v>
      </x:c>
      <x:c r="Q43" s="57" t="n">
        <x:f>IF(P43="Lidl",K43,IF(P43="Super U",L43,IF(P43="Carrefour",M43,IF(P43="Auchan",N43,O43))))</x:f>
        <x:v>8.2</x:v>
      </x:c>
      <x:c r="R43" s="57" t="n">
        <x:f>Q43/'Hypothèses &amp; sources'!$B$4</x:f>
        <x:v>2.05</x:v>
      </x:c>
      <x:c r="S43" s="56" t="n">
        <x:f>MAX(0,'Hypothèses &amp; sources'!$B$5*MAX(0,MIN(100,'Hypothèses &amp; sources'!$B$10-R43*'Hypothèses &amp; sources'!$B$9))+'Hypothèses &amp; sources'!$B$6*(G43/5*100)+'Hypothèses &amp; sources'!$B$7*(H43/5*100)+'Hypothèses &amp; sources'!$B$8*MAX(0,MIN(100,'Hypothèses &amp; sources'!$B$12-E43*'Hypothèses &amp; sources'!$B$11))-T43)</x:f>
        <x:v>80.468</x:v>
      </x:c>
      <x:c r="T43" s="33" t="n">
        <x:v>0</x:v>
      </x:c>
    </x:row>
    <x:row r="44">
      <x:c r="A44" s="33" t="n">
        <x:v>40</x:v>
      </x:c>
      <x:c r="B44" s="38" t="str">
        <x:v>One-pot pasta with bolognese</x:v>
      </x:c>
      <x:c r="C44" s="38" t="str">
        <x:v>Pâtes / bœuf</x:v>
      </x:c>
      <x:c r="D44" s="38" t="str">
        <x:v>pâtes, bœuf haché, tomates, carotte, céleri, oignon, parmesan</x:v>
      </x:c>
      <x:c r="E44" s="33" t="n">
        <x:v>20</x:v>
      </x:c>
      <x:c r="F44" s="33" t="n">
        <x:v>40</x:v>
      </x:c>
      <x:c r="G44" s="56" t="n">
        <x:v>4.8</x:v>
      </x:c>
      <x:c r="H44" s="56" t="n">
        <x:v>4.1</x:v>
      </x:c>
      <x:c r="I44" s="33" t="n">
        <x:v>0</x:v>
      </x:c>
      <x:c r="J44" s="57" t="n">
        <x:v>12.5</x:v>
      </x:c>
      <x:c r="K44" s="57" t="n">
        <x:f>J44*'Hypothèses &amp; sources'!$E$4</x:f>
        <x:v>12.5</x:v>
      </x:c>
      <x:c r="L44" s="57" t="n">
        <x:f>J44*'Hypothèses &amp; sources'!$F$4</x:f>
        <x:v>13.25</x:v>
      </x:c>
      <x:c r="M44" s="57" t="n">
        <x:f>J44*'Hypothèses &amp; sources'!$G$4</x:f>
        <x:v>13.750000000000002</x:v>
      </x:c>
      <x:c r="N44" s="57" t="n">
        <x:f>J44*'Hypothèses &amp; sources'!$H$4</x:f>
        <x:v>13.875000000000002</x:v>
      </x:c>
      <x:c r="O44" s="57" t="n">
        <x:f>J44*'Hypothèses &amp; sources'!$I$4</x:f>
        <x:v>15.5</x:v>
      </x:c>
      <x:c r="P44" s="57" t="str">
        <x:v>Lidl</x:v>
      </x:c>
      <x:c r="Q44" s="57" t="n">
        <x:f>IF(P44="Lidl",K44,IF(P44="Super U",L44,IF(P44="Carrefour",M44,IF(P44="Auchan",N44,O44))))</x:f>
        <x:v>12.5</x:v>
      </x:c>
      <x:c r="R44" s="57" t="n">
        <x:f>Q44/'Hypothèses &amp; sources'!$B$4</x:f>
        <x:v>3.125</x:v>
      </x:c>
      <x:c r="S44" s="56" t="n">
        <x:f>MAX(0,'Hypothèses &amp; sources'!$B$5*MAX(0,MIN(100,'Hypothèses &amp; sources'!$B$10-R44*'Hypothèses &amp; sources'!$B$9))+'Hypothèses &amp; sources'!$B$6*(G44/5*100)+'Hypothèses &amp; sources'!$B$7*(H44/5*100)+'Hypothèses &amp; sources'!$B$8*MAX(0,MIN(100,'Hypothèses &amp; sources'!$B$12-E44*'Hypothèses &amp; sources'!$B$11))-T44)</x:f>
        <x:v>80.01</x:v>
      </x:c>
      <x:c r="T44" s="33" t="n">
        <x:v>0</x:v>
      </x:c>
    </x:row>
    <x:row r="45">
      <x:c r="A45" s="33" t="n">
        <x:v>41</x:v>
      </x:c>
      <x:c r="B45" s="38" t="str">
        <x:v>Spicy garlic eggplant</x:v>
      </x:c>
      <x:c r="C45" s="38" t="str">
        <x:v>Plat complet</x:v>
      </x:c>
      <x:c r="D45" s="38" t="str">
        <x:v>ail, aubergine</x:v>
      </x:c>
      <x:c r="E45" s="33" t="n">
        <x:v>20</x:v>
      </x:c>
      <x:c r="F45" s="33" t="n">
        <x:v>40</x:v>
      </x:c>
      <x:c r="G45" s="56" t="n">
        <x:v>3.2</x:v>
      </x:c>
      <x:c r="H45" s="56" t="n">
        <x:v>3.4</x:v>
      </x:c>
      <x:c r="I45" s="33" t="n">
        <x:v>0</x:v>
      </x:c>
      <x:c r="J45" s="57" t="n">
        <x:v>3.4</x:v>
      </x:c>
      <x:c r="K45" s="57" t="n">
        <x:f>J45*'Hypothèses &amp; sources'!$E$4</x:f>
        <x:v>3.4</x:v>
      </x:c>
      <x:c r="L45" s="57" t="n">
        <x:f>J45*'Hypothèses &amp; sources'!$F$4</x:f>
        <x:v>3.604</x:v>
      </x:c>
      <x:c r="M45" s="57" t="n">
        <x:f>J45*'Hypothèses &amp; sources'!$G$4</x:f>
        <x:v>3.74</x:v>
      </x:c>
      <x:c r="N45" s="57" t="n">
        <x:f>J45*'Hypothèses &amp; sources'!$H$4</x:f>
        <x:v>3.774</x:v>
      </x:c>
      <x:c r="O45" s="57" t="n">
        <x:f>J45*'Hypothèses &amp; sources'!$I$4</x:f>
        <x:v>4.216</x:v>
      </x:c>
      <x:c r="P45" s="57" t="str">
        <x:v>Lidl</x:v>
      </x:c>
      <x:c r="Q45" s="57" t="n">
        <x:f>IF(P45="Lidl",K45,IF(P45="Super U",L45,IF(P45="Carrefour",M45,IF(P45="Auchan",N45,O45))))</x:f>
        <x:v>3.4</x:v>
      </x:c>
      <x:c r="R45" s="57" t="n">
        <x:f>Q45/'Hypothèses &amp; sources'!$B$4</x:f>
        <x:v>0.85</x:v>
      </x:c>
      <x:c r="S45" s="56" t="n">
        <x:f>MAX(0,'Hypothèses &amp; sources'!$B$5*MAX(0,MIN(100,'Hypothèses &amp; sources'!$B$10-R45*'Hypothèses &amp; sources'!$B$9))+'Hypothèses &amp; sources'!$B$6*(G45/5*100)+'Hypothèses &amp; sources'!$B$7*(H45/5*100)+'Hypothèses &amp; sources'!$B$8*MAX(0,MIN(100,'Hypothèses &amp; sources'!$B$12-E45*'Hypothèses &amp; sources'!$B$11))-T45)</x:f>
        <x:v>79.996</x:v>
      </x:c>
      <x:c r="T45" s="33" t="n">
        <x:v>0</x:v>
      </x:c>
    </x:row>
    <x:row r="46">
      <x:c r="A46" s="33" t="n">
        <x:v>42</x:v>
      </x:c>
      <x:c r="B46" s="38" t="str">
        <x:v>Macaroni and cheese</x:v>
      </x:c>
      <x:c r="C46" s="38" t="str">
        <x:v>Pâtes / fromage</x:v>
      </x:c>
      <x:c r="D46" s="38" t="str">
        <x:v>macaroni, cheddar, lait, beurre, farine, moutarde</x:v>
      </x:c>
      <x:c r="E46" s="33" t="n">
        <x:v>15</x:v>
      </x:c>
      <x:c r="F46" s="33" t="n">
        <x:v>30</x:v>
      </x:c>
      <x:c r="G46" s="56" t="n">
        <x:v>4.3</x:v>
      </x:c>
      <x:c r="H46" s="56" t="n">
        <x:v>2.4</x:v>
      </x:c>
      <x:c r="I46" s="33" t="n">
        <x:v>0</x:v>
      </x:c>
      <x:c r="J46" s="57" t="n">
        <x:v>6.5</x:v>
      </x:c>
      <x:c r="K46" s="57" t="n">
        <x:f>J46*'Hypothèses &amp; sources'!$E$4</x:f>
        <x:v>6.5</x:v>
      </x:c>
      <x:c r="L46" s="57" t="n">
        <x:f>J46*'Hypothèses &amp; sources'!$F$4</x:f>
        <x:v>6.890000000000001</x:v>
      </x:c>
      <x:c r="M46" s="57" t="n">
        <x:f>J46*'Hypothèses &amp; sources'!$G$4</x:f>
        <x:v>7.15</x:v>
      </x:c>
      <x:c r="N46" s="57" t="n">
        <x:f>J46*'Hypothèses &amp; sources'!$H$4</x:f>
        <x:v>7.215000000000001</x:v>
      </x:c>
      <x:c r="O46" s="57" t="n">
        <x:f>J46*'Hypothèses &amp; sources'!$I$4</x:f>
        <x:v>8.06</x:v>
      </x:c>
      <x:c r="P46" s="57" t="str">
        <x:v>Lidl</x:v>
      </x:c>
      <x:c r="Q46" s="57" t="n">
        <x:f>IF(P46="Lidl",K46,IF(P46="Super U",L46,IF(P46="Carrefour",M46,IF(P46="Auchan",N46,O46))))</x:f>
        <x:v>6.5</x:v>
      </x:c>
      <x:c r="R46" s="57" t="n">
        <x:f>Q46/'Hypothèses &amp; sources'!$B$4</x:f>
        <x:v>1.625</x:v>
      </x:c>
      <x:c r="S46" s="56" t="n">
        <x:f>MAX(0,'Hypothèses &amp; sources'!$B$5*MAX(0,MIN(100,'Hypothèses &amp; sources'!$B$10-R46*'Hypothèses &amp; sources'!$B$9))+'Hypothèses &amp; sources'!$B$6*(G46/5*100)+'Hypothèses &amp; sources'!$B$7*(H46/5*100)+'Hypothèses &amp; sources'!$B$8*MAX(0,MIN(100,'Hypothèses &amp; sources'!$B$12-E46*'Hypothèses &amp; sources'!$B$11))-T46)</x:f>
        <x:v>79.97</x:v>
      </x:c>
      <x:c r="T46" s="33" t="n">
        <x:v>0</x:v>
      </x:c>
    </x:row>
    <x:row r="47">
      <x:c r="A47" s="33" t="n">
        <x:v>43</x:v>
      </x:c>
      <x:c r="B47" s="38" t="str">
        <x:v>Curry de poulet et de lentilles</x:v>
      </x:c>
      <x:c r="C47" s="38" t="str">
        <x:v>Curry / cuisine épicée</x:v>
      </x:c>
      <x:c r="D47" s="38" t="str">
        <x:v>oignon, ail, gingembre, épices, légumineuses, poulet</x:v>
      </x:c>
      <x:c r="E47" s="33" t="n">
        <x:v>25</x:v>
      </x:c>
      <x:c r="F47" s="33" t="n">
        <x:v>55</x:v>
      </x:c>
      <x:c r="G47" s="56" t="n">
        <x:v>4.7</x:v>
      </x:c>
      <x:c r="H47" s="56" t="n">
        <x:v>4</x:v>
      </x:c>
      <x:c r="I47" s="33" t="n">
        <x:v>1</x:v>
      </x:c>
      <x:c r="J47" s="57" t="n">
        <x:v>10.2</x:v>
      </x:c>
      <x:c r="K47" s="57" t="n">
        <x:f>J47*'Hypothèses &amp; sources'!$E$4</x:f>
        <x:v>10.2</x:v>
      </x:c>
      <x:c r="L47" s="57" t="n">
        <x:f>J47*'Hypothèses &amp; sources'!$F$4</x:f>
        <x:v>10.812</x:v>
      </x:c>
      <x:c r="M47" s="57" t="n">
        <x:f>J47*'Hypothèses &amp; sources'!$G$4</x:f>
        <x:v>11.22</x:v>
      </x:c>
      <x:c r="N47" s="57" t="n">
        <x:f>J47*'Hypothèses &amp; sources'!$H$4</x:f>
        <x:v>11.322000000000001</x:v>
      </x:c>
      <x:c r="O47" s="57" t="n">
        <x:f>J47*'Hypothèses &amp; sources'!$I$4</x:f>
        <x:v>12.648</x:v>
      </x:c>
      <x:c r="P47" s="57" t="str">
        <x:v>Super U</x:v>
      </x:c>
      <x:c r="Q47" s="57" t="n">
        <x:f>IF(P47="Lidl",K47,IF(P47="Super U",L47,IF(P47="Carrefour",M47,IF(P47="Auchan",N47,O47))))</x:f>
        <x:v>10.812</x:v>
      </x:c>
      <x:c r="R47" s="57" t="n">
        <x:f>Q47/'Hypothèses &amp; sources'!$B$4</x:f>
        <x:v>2.703</x:v>
      </x:c>
      <x:c r="S47" s="56" t="n">
        <x:f>MAX(0,'Hypothèses &amp; sources'!$B$5*MAX(0,MIN(100,'Hypothèses &amp; sources'!$B$10-R47*'Hypothèses &amp; sources'!$B$9))+'Hypothèses &amp; sources'!$B$6*(G47/5*100)+'Hypothèses &amp; sources'!$B$7*(H47/5*100)+'Hypothèses &amp; sources'!$B$8*MAX(0,MIN(100,'Hypothèses &amp; sources'!$B$12-E47*'Hypothèses &amp; sources'!$B$11))-T47)</x:f>
        <x:v>79.89687999999998</x:v>
      </x:c>
      <x:c r="T47" s="33" t="n">
        <x:v>0</x:v>
      </x:c>
    </x:row>
    <x:row r="48">
      <x:c r="A48" s="33" t="n">
        <x:v>44</x:v>
      </x:c>
      <x:c r="B48" s="38" t="str">
        <x:v>Quinoa</x:v>
      </x:c>
      <x:c r="C48" s="38" t="str">
        <x:v>Accompagnement</x:v>
      </x:c>
      <x:c r="D48" s="38" t="str">
        <x:v>quinoa, eau ou bouillon</x:v>
      </x:c>
      <x:c r="E48" s="33" t="n">
        <x:v>5</x:v>
      </x:c>
      <x:c r="F48" s="33" t="n">
        <x:v>20</x:v>
      </x:c>
      <x:c r="G48" s="56" t="n">
        <x:v>3.5</x:v>
      </x:c>
      <x:c r="H48" s="56" t="n">
        <x:v>4</x:v>
      </x:c>
      <x:c r="I48" s="33" t="n">
        <x:v>0</x:v>
      </x:c>
      <x:c r="J48" s="57" t="n">
        <x:v>2.6</x:v>
      </x:c>
      <x:c r="K48" s="57" t="n">
        <x:f>J48*'Hypothèses &amp; sources'!$E$4</x:f>
        <x:v>2.6</x:v>
      </x:c>
      <x:c r="L48" s="57" t="n">
        <x:f>J48*'Hypothèses &amp; sources'!$F$4</x:f>
        <x:v>2.7560000000000002</x:v>
      </x:c>
      <x:c r="M48" s="57" t="n">
        <x:f>J48*'Hypothèses &amp; sources'!$G$4</x:f>
        <x:v>2.8600000000000003</x:v>
      </x:c>
      <x:c r="N48" s="57" t="n">
        <x:f>J48*'Hypothèses &amp; sources'!$H$4</x:f>
        <x:v>2.8860000000000006</x:v>
      </x:c>
      <x:c r="O48" s="57" t="n">
        <x:f>J48*'Hypothèses &amp; sources'!$I$4</x:f>
        <x:v>3.224</x:v>
      </x:c>
      <x:c r="P48" s="57" t="str">
        <x:v>Lidl</x:v>
      </x:c>
      <x:c r="Q48" s="57" t="n">
        <x:f>IF(P48="Lidl",K48,IF(P48="Super U",L48,IF(P48="Carrefour",M48,IF(P48="Auchan",N48,O48))))</x:f>
        <x:v>2.6</x:v>
      </x:c>
      <x:c r="R48" s="57" t="n">
        <x:f>Q48/'Hypothèses &amp; sources'!$B$4</x:f>
        <x:v>0.65</x:v>
      </x:c>
      <x:c r="S48" s="56" t="n">
        <x:f>MAX(0,'Hypothèses &amp; sources'!$B$5*MAX(0,MIN(100,'Hypothèses &amp; sources'!$B$10-R48*'Hypothèses &amp; sources'!$B$9))+'Hypothèses &amp; sources'!$B$6*(G48/5*100)+'Hypothèses &amp; sources'!$B$7*(H48/5*100)+'Hypothèses &amp; sources'!$B$8*MAX(0,MIN(100,'Hypothèses &amp; sources'!$B$12-E48*'Hypothèses &amp; sources'!$B$11))-T48)</x:f>
        <x:v>79.88</x:v>
      </x:c>
      <x:c r="T48" s="33" t="n">
        <x:v>8</x:v>
      </x:c>
    </x:row>
    <x:row r="49">
      <x:c r="A49" s="33" t="n">
        <x:v>45</x:v>
      </x:c>
      <x:c r="B49" s="38" t="str">
        <x:v>Tuscan chicken pasta</x:v>
      </x:c>
      <x:c r="C49" s="38" t="str">
        <x:v>Plat complet</x:v>
      </x:c>
      <x:c r="D49" s="38" t="str">
        <x:v>pâtes / nouilles, poulet</x:v>
      </x:c>
      <x:c r="E49" s="33" t="n">
        <x:v>20</x:v>
      </x:c>
      <x:c r="F49" s="33" t="n">
        <x:v>40</x:v>
      </x:c>
      <x:c r="G49" s="56" t="n">
        <x:v>4.2</x:v>
      </x:c>
      <x:c r="H49" s="56" t="n">
        <x:v>3.5</x:v>
      </x:c>
      <x:c r="I49" s="33" t="n">
        <x:v>0</x:v>
      </x:c>
      <x:c r="J49" s="57" t="n">
        <x:v>8.4</x:v>
      </x:c>
      <x:c r="K49" s="57" t="n">
        <x:f>J49*'Hypothèses &amp; sources'!$E$4</x:f>
        <x:v>8.4</x:v>
      </x:c>
      <x:c r="L49" s="57" t="n">
        <x:f>J49*'Hypothèses &amp; sources'!$F$4</x:f>
        <x:v>8.904000000000002</x:v>
      </x:c>
      <x:c r="M49" s="57" t="n">
        <x:f>J49*'Hypothèses &amp; sources'!$G$4</x:f>
        <x:v>9.240000000000002</x:v>
      </x:c>
      <x:c r="N49" s="57" t="n">
        <x:f>J49*'Hypothèses &amp; sources'!$H$4</x:f>
        <x:v>9.324000000000002</x:v>
      </x:c>
      <x:c r="O49" s="57" t="n">
        <x:f>J49*'Hypothèses &amp; sources'!$I$4</x:f>
        <x:v>10.416</x:v>
      </x:c>
      <x:c r="P49" s="57" t="str">
        <x:v>Lidl</x:v>
      </x:c>
      <x:c r="Q49" s="57" t="n">
        <x:f>IF(P49="Lidl",K49,IF(P49="Super U",L49,IF(P49="Carrefour",M49,IF(P49="Auchan",N49,O49))))</x:f>
        <x:v>8.4</x:v>
      </x:c>
      <x:c r="R49" s="57" t="n">
        <x:f>Q49/'Hypothèses &amp; sources'!$B$4</x:f>
        <x:v>2.1</x:v>
      </x:c>
      <x:c r="S49" s="56" t="n">
        <x:f>MAX(0,'Hypothèses &amp; sources'!$B$5*MAX(0,MIN(100,'Hypothèses &amp; sources'!$B$10-R49*'Hypothèses &amp; sources'!$B$9))+'Hypothèses &amp; sources'!$B$6*(G49/5*100)+'Hypothèses &amp; sources'!$B$7*(H49/5*100)+'Hypothèses &amp; sources'!$B$8*MAX(0,MIN(100,'Hypothèses &amp; sources'!$B$12-E49*'Hypothèses &amp; sources'!$B$11))-T49)</x:f>
        <x:v>79.656</x:v>
      </x:c>
      <x:c r="T49" s="33" t="n">
        <x:v>0</x:v>
      </x:c>
    </x:row>
    <x:row r="50">
      <x:c r="A50" s="33" t="n">
        <x:v>46</x:v>
      </x:c>
      <x:c r="B50" s="38" t="str">
        <x:v>Tomato eggs</x:v>
      </x:c>
      <x:c r="C50" s="38" t="str">
        <x:v>Plat complet</x:v>
      </x:c>
      <x:c r="D50" s="38" t="str">
        <x:v>œufs, tomates</x:v>
      </x:c>
      <x:c r="E50" s="33" t="n">
        <x:v>20</x:v>
      </x:c>
      <x:c r="F50" s="33" t="n">
        <x:v>40</x:v>
      </x:c>
      <x:c r="G50" s="56" t="n">
        <x:v>3.6</x:v>
      </x:c>
      <x:c r="H50" s="56" t="n">
        <x:v>3.1</x:v>
      </x:c>
      <x:c r="I50" s="33" t="n">
        <x:v>0</x:v>
      </x:c>
      <x:c r="J50" s="57" t="n">
        <x:v>4.6</x:v>
      </x:c>
      <x:c r="K50" s="57" t="n">
        <x:f>J50*'Hypothèses &amp; sources'!$E$4</x:f>
        <x:v>4.6</x:v>
      </x:c>
      <x:c r="L50" s="57" t="n">
        <x:f>J50*'Hypothèses &amp; sources'!$F$4</x:f>
        <x:v>4.8759999999999994</x:v>
      </x:c>
      <x:c r="M50" s="57" t="n">
        <x:f>J50*'Hypothèses &amp; sources'!$G$4</x:f>
        <x:v>5.06</x:v>
      </x:c>
      <x:c r="N50" s="57" t="n">
        <x:f>J50*'Hypothèses &amp; sources'!$H$4</x:f>
        <x:v>5.106</x:v>
      </x:c>
      <x:c r="O50" s="57" t="n">
        <x:f>J50*'Hypothèses &amp; sources'!$I$4</x:f>
        <x:v>5.704</x:v>
      </x:c>
      <x:c r="P50" s="57" t="str">
        <x:v>Lidl</x:v>
      </x:c>
      <x:c r="Q50" s="57" t="n">
        <x:f>IF(P50="Lidl",K50,IF(P50="Super U",L50,IF(P50="Carrefour",M50,IF(P50="Auchan",N50,O50))))</x:f>
        <x:v>4.6</x:v>
      </x:c>
      <x:c r="R50" s="57" t="n">
        <x:f>Q50/'Hypothèses &amp; sources'!$B$4</x:f>
        <x:v>1.15</x:v>
      </x:c>
      <x:c r="S50" s="56" t="n">
        <x:f>MAX(0,'Hypothèses &amp; sources'!$B$5*MAX(0,MIN(100,'Hypothèses &amp; sources'!$B$10-R50*'Hypothèses &amp; sources'!$B$9))+'Hypothèses &amp; sources'!$B$6*(G50/5*100)+'Hypothèses &amp; sources'!$B$7*(H50/5*100)+'Hypothèses &amp; sources'!$B$8*MAX(0,MIN(100,'Hypothèses &amp; sources'!$B$12-E50*'Hypothèses &amp; sources'!$B$11))-T50)</x:f>
        <x:v>79.644</x:v>
      </x:c>
      <x:c r="T50" s="33" t="n">
        <x:v>0</x:v>
      </x:c>
    </x:row>
    <x:row r="51">
      <x:c r="A51" s="33" t="n">
        <x:v>47</x:v>
      </x:c>
      <x:c r="B51" s="38" t="str">
        <x:v>Soupe à l'ail roti</x:v>
      </x:c>
      <x:c r="C51" s="38" t="str">
        <x:v>Soupe / bouillon</x:v>
      </x:c>
      <x:c r="D51" s="38" t="str">
        <x:v>ail, bouillon, oignon, légumes</x:v>
      </x:c>
      <x:c r="E51" s="33" t="n">
        <x:v>20</x:v>
      </x:c>
      <x:c r="F51" s="33" t="n">
        <x:v>90</x:v>
      </x:c>
      <x:c r="G51" s="56" t="n">
        <x:v>3.2</x:v>
      </x:c>
      <x:c r="H51" s="56" t="n">
        <x:v>3.5</x:v>
      </x:c>
      <x:c r="I51" s="33" t="n">
        <x:v>0</x:v>
      </x:c>
      <x:c r="J51" s="57" t="n">
        <x:v>4</x:v>
      </x:c>
      <x:c r="K51" s="57" t="n">
        <x:f>J51*'Hypothèses &amp; sources'!$E$4</x:f>
        <x:v>4</x:v>
      </x:c>
      <x:c r="L51" s="57" t="n">
        <x:f>J51*'Hypothèses &amp; sources'!$F$4</x:f>
        <x:v>4.24</x:v>
      </x:c>
      <x:c r="M51" s="57" t="n">
        <x:f>J51*'Hypothèses &amp; sources'!$G$4</x:f>
        <x:v>4.4</x:v>
      </x:c>
      <x:c r="N51" s="57" t="n">
        <x:f>J51*'Hypothèses &amp; sources'!$H$4</x:f>
        <x:v>4.44</x:v>
      </x:c>
      <x:c r="O51" s="57" t="n">
        <x:f>J51*'Hypothèses &amp; sources'!$I$4</x:f>
        <x:v>4.96</x:v>
      </x:c>
      <x:c r="P51" s="57" t="str">
        <x:v>Lidl</x:v>
      </x:c>
      <x:c r="Q51" s="57" t="n">
        <x:f>IF(P51="Lidl",K51,IF(P51="Super U",L51,IF(P51="Carrefour",M51,IF(P51="Auchan",N51,O51))))</x:f>
        <x:v>4</x:v>
      </x:c>
      <x:c r="R51" s="57" t="n">
        <x:f>Q51/'Hypothèses &amp; sources'!$B$4</x:f>
        <x:v>1</x:v>
      </x:c>
      <x:c r="S51" s="56" t="n">
        <x:f>MAX(0,'Hypothèses &amp; sources'!$B$5*MAX(0,MIN(100,'Hypothèses &amp; sources'!$B$10-R51*'Hypothèses &amp; sources'!$B$9))+'Hypothèses &amp; sources'!$B$6*(G51/5*100)+'Hypothèses &amp; sources'!$B$7*(H51/5*100)+'Hypothèses &amp; sources'!$B$8*MAX(0,MIN(100,'Hypothèses &amp; sources'!$B$12-E51*'Hypothèses &amp; sources'!$B$11))-T51)</x:f>
        <x:v>79.6</x:v>
      </x:c>
      <x:c r="T51" s="33" t="n">
        <x:v>0</x:v>
      </x:c>
    </x:row>
    <x:row r="52">
      <x:c r="A52" s="33" t="n">
        <x:v>48</x:v>
      </x:c>
      <x:c r="B52" s="38" t="str">
        <x:v>Ramen au poulet</x:v>
      </x:c>
      <x:c r="C52" s="38" t="str">
        <x:v>Soupe / bouillon</x:v>
      </x:c>
      <x:c r="D52" s="38" t="str">
        <x:v>bouillon, oignon, pâtes / nouilles, poulet, légumes</x:v>
      </x:c>
      <x:c r="E52" s="33" t="n">
        <x:v>15</x:v>
      </x:c>
      <x:c r="F52" s="33" t="n">
        <x:v>35</x:v>
      </x:c>
      <x:c r="G52" s="56" t="n">
        <x:v>4.2</x:v>
      </x:c>
      <x:c r="H52" s="56" t="n">
        <x:v>3.9</x:v>
      </x:c>
      <x:c r="I52" s="33" t="n">
        <x:v>0</x:v>
      </x:c>
      <x:c r="J52" s="57" t="n">
        <x:v>11</x:v>
      </x:c>
      <x:c r="K52" s="57" t="n">
        <x:f>J52*'Hypothèses &amp; sources'!$E$4</x:f>
        <x:v>11</x:v>
      </x:c>
      <x:c r="L52" s="57" t="n">
        <x:f>J52*'Hypothèses &amp; sources'!$F$4</x:f>
        <x:v>11.66</x:v>
      </x:c>
      <x:c r="M52" s="57" t="n">
        <x:f>J52*'Hypothèses &amp; sources'!$G$4</x:f>
        <x:v>12.100000000000001</x:v>
      </x:c>
      <x:c r="N52" s="57" t="n">
        <x:f>J52*'Hypothèses &amp; sources'!$H$4</x:f>
        <x:v>12.21</x:v>
      </x:c>
      <x:c r="O52" s="57" t="n">
        <x:f>J52*'Hypothèses &amp; sources'!$I$4</x:f>
        <x:v>13.64</x:v>
      </x:c>
      <x:c r="P52" s="57" t="str">
        <x:v>Lidl</x:v>
      </x:c>
      <x:c r="Q52" s="57" t="n">
        <x:f>IF(P52="Lidl",K52,IF(P52="Super U",L52,IF(P52="Carrefour",M52,IF(P52="Auchan",N52,O52))))</x:f>
        <x:v>11</x:v>
      </x:c>
      <x:c r="R52" s="57" t="n">
        <x:f>Q52/'Hypothèses &amp; sources'!$B$4</x:f>
        <x:v>2.75</x:v>
      </x:c>
      <x:c r="S52" s="56" t="n">
        <x:f>MAX(0,'Hypothèses &amp; sources'!$B$5*MAX(0,MIN(100,'Hypothèses &amp; sources'!$B$10-R52*'Hypothèses &amp; sources'!$B$9))+'Hypothèses &amp; sources'!$B$6*(G52/5*100)+'Hypothèses &amp; sources'!$B$7*(H52/5*100)+'Hypothèses &amp; sources'!$B$8*MAX(0,MIN(100,'Hypothèses &amp; sources'!$B$12-E52*'Hypothèses &amp; sources'!$B$11))-T52)</x:f>
        <x:v>79.14</x:v>
      </x:c>
      <x:c r="T52" s="33" t="n">
        <x:v>0</x:v>
      </x:c>
    </x:row>
    <x:row r="53">
      <x:c r="A53" s="33" t="n">
        <x:v>49</x:v>
      </x:c>
      <x:c r="B53" s="38" t="str">
        <x:v>Poivrons farcis</x:v>
      </x:c>
      <x:c r="C53" s="38" t="str">
        <x:v>Gratin / farci</x:v>
      </x:c>
      <x:c r="D53" s="38" t="str">
        <x:v>poivrons, bœuf haché, riz, tomates, fromage</x:v>
      </x:c>
      <x:c r="E53" s="33" t="n">
        <x:v>25</x:v>
      </x:c>
      <x:c r="F53" s="33" t="n">
        <x:v>60</x:v>
      </x:c>
      <x:c r="G53" s="56" t="n">
        <x:v>4.7</x:v>
      </x:c>
      <x:c r="H53" s="56" t="n">
        <x:v>4.2</x:v>
      </x:c>
      <x:c r="I53" s="33" t="n">
        <x:v>0</x:v>
      </x:c>
      <x:c r="J53" s="57" t="n">
        <x:v>12</x:v>
      </x:c>
      <x:c r="K53" s="57" t="n">
        <x:f>J53*'Hypothèses &amp; sources'!$E$4</x:f>
        <x:v>12</x:v>
      </x:c>
      <x:c r="L53" s="57" t="n">
        <x:f>J53*'Hypothèses &amp; sources'!$F$4</x:f>
        <x:v>12.72</x:v>
      </x:c>
      <x:c r="M53" s="57" t="n">
        <x:f>J53*'Hypothèses &amp; sources'!$G$4</x:f>
        <x:v>13.200000000000001</x:v>
      </x:c>
      <x:c r="N53" s="57" t="n">
        <x:f>J53*'Hypothèses &amp; sources'!$H$4</x:f>
        <x:v>13.32</x:v>
      </x:c>
      <x:c r="O53" s="57" t="n">
        <x:f>J53*'Hypothèses &amp; sources'!$I$4</x:f>
        <x:v>14.879999999999999</x:v>
      </x:c>
      <x:c r="P53" s="57" t="str">
        <x:v>Lidl</x:v>
      </x:c>
      <x:c r="Q53" s="57" t="n">
        <x:f>IF(P53="Lidl",K53,IF(P53="Super U",L53,IF(P53="Carrefour",M53,IF(P53="Auchan",N53,O53))))</x:f>
        <x:v>12</x:v>
      </x:c>
      <x:c r="R53" s="57" t="n">
        <x:f>Q53/'Hypothèses &amp; sources'!$B$4</x:f>
        <x:v>3</x:v>
      </x:c>
      <x:c r="S53" s="56" t="n">
        <x:f>MAX(0,'Hypothèses &amp; sources'!$B$5*MAX(0,MIN(100,'Hypothèses &amp; sources'!$B$10-R53*'Hypothèses &amp; sources'!$B$9))+'Hypothèses &amp; sources'!$B$6*(G53/5*100)+'Hypothèses &amp; sources'!$B$7*(H53/5*100)+'Hypothèses &amp; sources'!$B$8*MAX(0,MIN(100,'Hypothèses &amp; sources'!$B$12-E53*'Hypothèses &amp; sources'!$B$11))-T53)</x:f>
        <x:v>79.12</x:v>
      </x:c>
      <x:c r="T53" s="33" t="n">
        <x:v>0</x:v>
      </x:c>
    </x:row>
    <x:row r="54">
      <x:c r="A54" s="33" t="n">
        <x:v>50</x:v>
      </x:c>
      <x:c r="B54" s="38" t="str">
        <x:v>Dum aloo/pommes de terre nouvelles en sauce masala épicée</x:v>
      </x:c>
      <x:c r="C54" s="38" t="str">
        <x:v>Curry / cuisine épicée</x:v>
      </x:c>
      <x:c r="D54" s="38" t="str">
        <x:v>oignon, ail, gingembre, épices, pommes de terre</x:v>
      </x:c>
      <x:c r="E54" s="33" t="n">
        <x:v>25</x:v>
      </x:c>
      <x:c r="F54" s="33" t="n">
        <x:v>55</x:v>
      </x:c>
      <x:c r="G54" s="56" t="n">
        <x:v>3.7</x:v>
      </x:c>
      <x:c r="H54" s="56" t="n">
        <x:v>3.1</x:v>
      </x:c>
      <x:c r="I54" s="33" t="n">
        <x:v>1</x:v>
      </x:c>
      <x:c r="J54" s="57" t="n">
        <x:v>4.2</x:v>
      </x:c>
      <x:c r="K54" s="57" t="n">
        <x:f>J54*'Hypothèses &amp; sources'!$E$4</x:f>
        <x:v>4.2</x:v>
      </x:c>
      <x:c r="L54" s="57" t="n">
        <x:f>J54*'Hypothèses &amp; sources'!$F$4</x:f>
        <x:v>4.452000000000001</x:v>
      </x:c>
      <x:c r="M54" s="57" t="n">
        <x:f>J54*'Hypothèses &amp; sources'!$G$4</x:f>
        <x:v>4.620000000000001</x:v>
      </x:c>
      <x:c r="N54" s="57" t="n">
        <x:f>J54*'Hypothèses &amp; sources'!$H$4</x:f>
        <x:v>4.662000000000001</x:v>
      </x:c>
      <x:c r="O54" s="57" t="n">
        <x:f>J54*'Hypothèses &amp; sources'!$I$4</x:f>
        <x:v>5.208</x:v>
      </x:c>
      <x:c r="P54" s="57" t="str">
        <x:v>Super U</x:v>
      </x:c>
      <x:c r="Q54" s="57" t="n">
        <x:f>IF(P54="Lidl",K54,IF(P54="Super U",L54,IF(P54="Carrefour",M54,IF(P54="Auchan",N54,O54))))</x:f>
        <x:v>4.452000000000001</x:v>
      </x:c>
      <x:c r="R54" s="57" t="n">
        <x:f>Q54/'Hypothèses &amp; sources'!$B$4</x:f>
        <x:v>1.1130000000000002</x:v>
      </x:c>
      <x:c r="S54" s="56" t="n">
        <x:f>MAX(0,'Hypothèses &amp; sources'!$B$5*MAX(0,MIN(100,'Hypothèses &amp; sources'!$B$10-R54*'Hypothèses &amp; sources'!$B$9))+'Hypothèses &amp; sources'!$B$6*(G54/5*100)+'Hypothèses &amp; sources'!$B$7*(H54/5*100)+'Hypothèses &amp; sources'!$B$8*MAX(0,MIN(100,'Hypothèses &amp; sources'!$B$12-E54*'Hypothèses &amp; sources'!$B$11))-T54)</x:f>
        <x:v>79.07047999999999</x:v>
      </x:c>
      <x:c r="T54" s="33" t="n">
        <x:v>0</x:v>
      </x:c>
    </x:row>
    <x:row r="55">
      <x:c r="A55" s="33" t="n">
        <x:v>51</x:v>
      </x:c>
      <x:c r="B55" s="38" t="str">
        <x:v>Poitrine de dinde au paprika</x:v>
      </x:c>
      <x:c r="C55" s="38" t="str">
        <x:v>Plat complet</x:v>
      </x:c>
      <x:c r="D55" s="38" t="str">
        <x:v>dinde</x:v>
      </x:c>
      <x:c r="E55" s="33" t="n">
        <x:v>20</x:v>
      </x:c>
      <x:c r="F55" s="33" t="n">
        <x:v>40</x:v>
      </x:c>
      <x:c r="G55" s="56" t="n">
        <x:v>3.9</x:v>
      </x:c>
      <x:c r="H55" s="56" t="n">
        <x:v>3.5</x:v>
      </x:c>
      <x:c r="I55" s="33" t="n">
        <x:v>0</x:v>
      </x:c>
      <x:c r="J55" s="57" t="n">
        <x:v>7.7</x:v>
      </x:c>
      <x:c r="K55" s="57" t="n">
        <x:f>J55*'Hypothèses &amp; sources'!$E$4</x:f>
        <x:v>7.7</x:v>
      </x:c>
      <x:c r="L55" s="57" t="n">
        <x:f>J55*'Hypothèses &amp; sources'!$F$4</x:f>
        <x:v>8.162</x:v>
      </x:c>
      <x:c r="M55" s="57" t="n">
        <x:f>J55*'Hypothèses &amp; sources'!$G$4</x:f>
        <x:v>8.47</x:v>
      </x:c>
      <x:c r="N55" s="57" t="n">
        <x:f>J55*'Hypothèses &amp; sources'!$H$4</x:f>
        <x:v>8.547</x:v>
      </x:c>
      <x:c r="O55" s="57" t="n">
        <x:f>J55*'Hypothèses &amp; sources'!$I$4</x:f>
        <x:v>9.548</x:v>
      </x:c>
      <x:c r="P55" s="57" t="str">
        <x:v>Lidl</x:v>
      </x:c>
      <x:c r="Q55" s="57" t="n">
        <x:f>IF(P55="Lidl",K55,IF(P55="Super U",L55,IF(P55="Carrefour",M55,IF(P55="Auchan",N55,O55))))</x:f>
        <x:v>7.7</x:v>
      </x:c>
      <x:c r="R55" s="57" t="n">
        <x:f>Q55/'Hypothèses &amp; sources'!$B$4</x:f>
        <x:v>1.925</x:v>
      </x:c>
      <x:c r="S55" s="56" t="n">
        <x:f>MAX(0,'Hypothèses &amp; sources'!$B$5*MAX(0,MIN(100,'Hypothèses &amp; sources'!$B$10-R55*'Hypothèses &amp; sources'!$B$9))+'Hypothèses &amp; sources'!$B$6*(G55/5*100)+'Hypothèses &amp; sources'!$B$7*(H55/5*100)+'Hypothèses &amp; sources'!$B$8*MAX(0,MIN(100,'Hypothèses &amp; sources'!$B$12-E55*'Hypothèses &amp; sources'!$B$11))-T55)</x:f>
        <x:v>78.858</x:v>
      </x:c>
      <x:c r="T55" s="33" t="n">
        <x:v>0</x:v>
      </x:c>
    </x:row>
    <x:row r="56">
      <x:c r="A56" s="33" t="n">
        <x:v>52</x:v>
      </x:c>
      <x:c r="B56" s="38" t="str">
        <x:v>Chicken fajita soup</x:v>
      </x:c>
      <x:c r="C56" s="38" t="str">
        <x:v>Soupe / bouillon</x:v>
      </x:c>
      <x:c r="D56" s="38" t="str">
        <x:v>bouillon, oignon, poulet, légumes</x:v>
      </x:c>
      <x:c r="E56" s="33" t="n">
        <x:v>15</x:v>
      </x:c>
      <x:c r="F56" s="33" t="n">
        <x:v>35</x:v>
      </x:c>
      <x:c r="G56" s="56" t="n">
        <x:v>3.9</x:v>
      </x:c>
      <x:c r="H56" s="56" t="n">
        <x:v>3.9</x:v>
      </x:c>
      <x:c r="I56" s="33" t="n">
        <x:v>0</x:v>
      </x:c>
      <x:c r="J56" s="57" t="n">
        <x:v>9.9</x:v>
      </x:c>
      <x:c r="K56" s="57" t="n">
        <x:f>J56*'Hypothèses &amp; sources'!$E$4</x:f>
        <x:v>9.9</x:v>
      </x:c>
      <x:c r="L56" s="57" t="n">
        <x:f>J56*'Hypothèses &amp; sources'!$F$4</x:f>
        <x:v>10.494000000000002</x:v>
      </x:c>
      <x:c r="M56" s="57" t="n">
        <x:f>J56*'Hypothèses &amp; sources'!$G$4</x:f>
        <x:v>10.89</x:v>
      </x:c>
      <x:c r="N56" s="57" t="n">
        <x:f>J56*'Hypothèses &amp; sources'!$H$4</x:f>
        <x:v>10.989</x:v>
      </x:c>
      <x:c r="O56" s="57" t="n">
        <x:f>J56*'Hypothèses &amp; sources'!$I$4</x:f>
        <x:v>12.276</x:v>
      </x:c>
      <x:c r="P56" s="57" t="str">
        <x:v>Lidl</x:v>
      </x:c>
      <x:c r="Q56" s="57" t="n">
        <x:f>IF(P56="Lidl",K56,IF(P56="Super U",L56,IF(P56="Carrefour",M56,IF(P56="Auchan",N56,O56))))</x:f>
        <x:v>9.9</x:v>
      </x:c>
      <x:c r="R56" s="57" t="n">
        <x:f>Q56/'Hypothèses &amp; sources'!$B$4</x:f>
        <x:v>2.475</x:v>
      </x:c>
      <x:c r="S56" s="56" t="n">
        <x:f>MAX(0,'Hypothèses &amp; sources'!$B$5*MAX(0,MIN(100,'Hypothèses &amp; sources'!$B$10-R56*'Hypothèses &amp; sources'!$B$9))+'Hypothèses &amp; sources'!$B$6*(G56/5*100)+'Hypothèses &amp; sources'!$B$7*(H56/5*100)+'Hypothèses &amp; sources'!$B$8*MAX(0,MIN(100,'Hypothèses &amp; sources'!$B$12-E56*'Hypothèses &amp; sources'!$B$11))-T56)</x:f>
        <x:v>78.84599999999999</x:v>
      </x:c>
      <x:c r="T56" s="33" t="n">
        <x:v>0</x:v>
      </x:c>
    </x:row>
    <x:row r="57">
      <x:c r="A57" s="33" t="n">
        <x:v>53</x:v>
      </x:c>
      <x:c r="B57" s="38" t="str">
        <x:v>Congee au poulet</x:v>
      </x:c>
      <x:c r="C57" s="38" t="str">
        <x:v>Soupe / bouillon</x:v>
      </x:c>
      <x:c r="D57" s="38" t="str">
        <x:v>bouillon, oignon, poulet, légumes</x:v>
      </x:c>
      <x:c r="E57" s="33" t="n">
        <x:v>15</x:v>
      </x:c>
      <x:c r="F57" s="33" t="n">
        <x:v>35</x:v>
      </x:c>
      <x:c r="G57" s="56" t="n">
        <x:v>3.9</x:v>
      </x:c>
      <x:c r="H57" s="56" t="n">
        <x:v>3.9</x:v>
      </x:c>
      <x:c r="I57" s="33" t="n">
        <x:v>0</x:v>
      </x:c>
      <x:c r="J57" s="57" t="n">
        <x:v>9.9</x:v>
      </x:c>
      <x:c r="K57" s="57" t="n">
        <x:f>J57*'Hypothèses &amp; sources'!$E$4</x:f>
        <x:v>9.9</x:v>
      </x:c>
      <x:c r="L57" s="57" t="n">
        <x:f>J57*'Hypothèses &amp; sources'!$F$4</x:f>
        <x:v>10.494000000000002</x:v>
      </x:c>
      <x:c r="M57" s="57" t="n">
        <x:f>J57*'Hypothèses &amp; sources'!$G$4</x:f>
        <x:v>10.89</x:v>
      </x:c>
      <x:c r="N57" s="57" t="n">
        <x:f>J57*'Hypothèses &amp; sources'!$H$4</x:f>
        <x:v>10.989</x:v>
      </x:c>
      <x:c r="O57" s="57" t="n">
        <x:f>J57*'Hypothèses &amp; sources'!$I$4</x:f>
        <x:v>12.276</x:v>
      </x:c>
      <x:c r="P57" s="57" t="str">
        <x:v>Lidl</x:v>
      </x:c>
      <x:c r="Q57" s="57" t="n">
        <x:f>IF(P57="Lidl",K57,IF(P57="Super U",L57,IF(P57="Carrefour",M57,IF(P57="Auchan",N57,O57))))</x:f>
        <x:v>9.9</x:v>
      </x:c>
      <x:c r="R57" s="57" t="n">
        <x:f>Q57/'Hypothèses &amp; sources'!$B$4</x:f>
        <x:v>2.475</x:v>
      </x:c>
      <x:c r="S57" s="56" t="n">
        <x:f>MAX(0,'Hypothèses &amp; sources'!$B$5*MAX(0,MIN(100,'Hypothèses &amp; sources'!$B$10-R57*'Hypothèses &amp; sources'!$B$9))+'Hypothèses &amp; sources'!$B$6*(G57/5*100)+'Hypothèses &amp; sources'!$B$7*(H57/5*100)+'Hypothèses &amp; sources'!$B$8*MAX(0,MIN(100,'Hypothèses &amp; sources'!$B$12-E57*'Hypothèses &amp; sources'!$B$11))-T57)</x:f>
        <x:v>78.84599999999999</x:v>
      </x:c>
      <x:c r="T57" s="33" t="n">
        <x:v>0</x:v>
      </x:c>
    </x:row>
    <x:row r="58">
      <x:c r="A58" s="33" t="n">
        <x:v>54</x:v>
      </x:c>
      <x:c r="B58" s="38" t="str">
        <x:v>Green chicken pozole</x:v>
      </x:c>
      <x:c r="C58" s="38" t="str">
        <x:v>Soupe / bouillon</x:v>
      </x:c>
      <x:c r="D58" s="38" t="str">
        <x:v>bouillon, oignon, poulet, légumes</x:v>
      </x:c>
      <x:c r="E58" s="33" t="n">
        <x:v>15</x:v>
      </x:c>
      <x:c r="F58" s="33" t="n">
        <x:v>35</x:v>
      </x:c>
      <x:c r="G58" s="56" t="n">
        <x:v>3.9</x:v>
      </x:c>
      <x:c r="H58" s="56" t="n">
        <x:v>3.9</x:v>
      </x:c>
      <x:c r="I58" s="33" t="n">
        <x:v>0</x:v>
      </x:c>
      <x:c r="J58" s="57" t="n">
        <x:v>9.9</x:v>
      </x:c>
      <x:c r="K58" s="57" t="n">
        <x:f>J58*'Hypothèses &amp; sources'!$E$4</x:f>
        <x:v>9.9</x:v>
      </x:c>
      <x:c r="L58" s="57" t="n">
        <x:f>J58*'Hypothèses &amp; sources'!$F$4</x:f>
        <x:v>10.494000000000002</x:v>
      </x:c>
      <x:c r="M58" s="57" t="n">
        <x:f>J58*'Hypothèses &amp; sources'!$G$4</x:f>
        <x:v>10.89</x:v>
      </x:c>
      <x:c r="N58" s="57" t="n">
        <x:f>J58*'Hypothèses &amp; sources'!$H$4</x:f>
        <x:v>10.989</x:v>
      </x:c>
      <x:c r="O58" s="57" t="n">
        <x:f>J58*'Hypothèses &amp; sources'!$I$4</x:f>
        <x:v>12.276</x:v>
      </x:c>
      <x:c r="P58" s="57" t="str">
        <x:v>Lidl</x:v>
      </x:c>
      <x:c r="Q58" s="57" t="n">
        <x:f>IF(P58="Lidl",K58,IF(P58="Super U",L58,IF(P58="Carrefour",M58,IF(P58="Auchan",N58,O58))))</x:f>
        <x:v>9.9</x:v>
      </x:c>
      <x:c r="R58" s="57" t="n">
        <x:f>Q58/'Hypothèses &amp; sources'!$B$4</x:f>
        <x:v>2.475</x:v>
      </x:c>
      <x:c r="S58" s="56" t="n">
        <x:f>MAX(0,'Hypothèses &amp; sources'!$B$5*MAX(0,MIN(100,'Hypothèses &amp; sources'!$B$10-R58*'Hypothèses &amp; sources'!$B$9))+'Hypothèses &amp; sources'!$B$6*(G58/5*100)+'Hypothèses &amp; sources'!$B$7*(H58/5*100)+'Hypothèses &amp; sources'!$B$8*MAX(0,MIN(100,'Hypothèses &amp; sources'!$B$12-E58*'Hypothèses &amp; sources'!$B$11))-T58)</x:f>
        <x:v>78.84599999999999</x:v>
      </x:c>
      <x:c r="T58" s="33" t="n">
        <x:v>0</x:v>
      </x:c>
    </x:row>
    <x:row r="59">
      <x:c r="A59" s="33" t="n">
        <x:v>55</x:v>
      </x:c>
      <x:c r="B59" s="38" t="str">
        <x:v>Italian chicken soup</x:v>
      </x:c>
      <x:c r="C59" s="38" t="str">
        <x:v>Soupe / bouillon</x:v>
      </x:c>
      <x:c r="D59" s="38" t="str">
        <x:v>bouillon, oignon, poulet, légumes</x:v>
      </x:c>
      <x:c r="E59" s="33" t="n">
        <x:v>15</x:v>
      </x:c>
      <x:c r="F59" s="33" t="n">
        <x:v>35</x:v>
      </x:c>
      <x:c r="G59" s="56" t="n">
        <x:v>3.9</x:v>
      </x:c>
      <x:c r="H59" s="56" t="n">
        <x:v>3.9</x:v>
      </x:c>
      <x:c r="I59" s="33" t="n">
        <x:v>0</x:v>
      </x:c>
      <x:c r="J59" s="57" t="n">
        <x:v>9.9</x:v>
      </x:c>
      <x:c r="K59" s="57" t="n">
        <x:f>J59*'Hypothèses &amp; sources'!$E$4</x:f>
        <x:v>9.9</x:v>
      </x:c>
      <x:c r="L59" s="57" t="n">
        <x:f>J59*'Hypothèses &amp; sources'!$F$4</x:f>
        <x:v>10.494000000000002</x:v>
      </x:c>
      <x:c r="M59" s="57" t="n">
        <x:f>J59*'Hypothèses &amp; sources'!$G$4</x:f>
        <x:v>10.89</x:v>
      </x:c>
      <x:c r="N59" s="57" t="n">
        <x:f>J59*'Hypothèses &amp; sources'!$H$4</x:f>
        <x:v>10.989</x:v>
      </x:c>
      <x:c r="O59" s="57" t="n">
        <x:f>J59*'Hypothèses &amp; sources'!$I$4</x:f>
        <x:v>12.276</x:v>
      </x:c>
      <x:c r="P59" s="57" t="str">
        <x:v>Lidl</x:v>
      </x:c>
      <x:c r="Q59" s="57" t="n">
        <x:f>IF(P59="Lidl",K59,IF(P59="Super U",L59,IF(P59="Carrefour",M59,IF(P59="Auchan",N59,O59))))</x:f>
        <x:v>9.9</x:v>
      </x:c>
      <x:c r="R59" s="57" t="n">
        <x:f>Q59/'Hypothèses &amp; sources'!$B$4</x:f>
        <x:v>2.475</x:v>
      </x:c>
      <x:c r="S59" s="56" t="n">
        <x:f>MAX(0,'Hypothèses &amp; sources'!$B$5*MAX(0,MIN(100,'Hypothèses &amp; sources'!$B$10-R59*'Hypothèses &amp; sources'!$B$9))+'Hypothèses &amp; sources'!$B$6*(G59/5*100)+'Hypothèses &amp; sources'!$B$7*(H59/5*100)+'Hypothèses &amp; sources'!$B$8*MAX(0,MIN(100,'Hypothèses &amp; sources'!$B$12-E59*'Hypothèses &amp; sources'!$B$11))-T59)</x:f>
        <x:v>78.84599999999999</x:v>
      </x:c>
      <x:c r="T59" s="33" t="n">
        <x:v>0</x:v>
      </x:c>
    </x:row>
    <x:row r="60">
      <x:c r="A60" s="33" t="n">
        <x:v>56</x:v>
      </x:c>
      <x:c r="B60" s="38" t="str">
        <x:v>Poulet au beurre de noix de cajou</x:v>
      </x:c>
      <x:c r="C60" s="38" t="str">
        <x:v>Plat complet</x:v>
      </x:c>
      <x:c r="D60" s="38" t="str">
        <x:v>poulet, beurre / noix</x:v>
      </x:c>
      <x:c r="E60" s="33" t="n">
        <x:v>20</x:v>
      </x:c>
      <x:c r="F60" s="33" t="n">
        <x:v>40</x:v>
      </x:c>
      <x:c r="G60" s="56" t="n">
        <x:v>4.3</x:v>
      </x:c>
      <x:c r="H60" s="56" t="n">
        <x:v>3.5</x:v>
      </x:c>
      <x:c r="I60" s="33" t="n">
        <x:v>0</x:v>
      </x:c>
      <x:c r="J60" s="57" t="n">
        <x:v>9.5</x:v>
      </x:c>
      <x:c r="K60" s="57" t="n">
        <x:f>J60*'Hypothèses &amp; sources'!$E$4</x:f>
        <x:v>9.5</x:v>
      </x:c>
      <x:c r="L60" s="57" t="n">
        <x:f>J60*'Hypothèses &amp; sources'!$F$4</x:f>
        <x:v>10.07</x:v>
      </x:c>
      <x:c r="M60" s="57" t="n">
        <x:f>J60*'Hypothèses &amp; sources'!$G$4</x:f>
        <x:v>10.450000000000001</x:v>
      </x:c>
      <x:c r="N60" s="57" t="n">
        <x:f>J60*'Hypothèses &amp; sources'!$H$4</x:f>
        <x:v>10.545000000000002</x:v>
      </x:c>
      <x:c r="O60" s="57" t="n">
        <x:f>J60*'Hypothèses &amp; sources'!$I$4</x:f>
        <x:v>11.78</x:v>
      </x:c>
      <x:c r="P60" s="57" t="str">
        <x:v>Lidl</x:v>
      </x:c>
      <x:c r="Q60" s="57" t="n">
        <x:f>IF(P60="Lidl",K60,IF(P60="Super U",L60,IF(P60="Carrefour",M60,IF(P60="Auchan",N60,O60))))</x:f>
        <x:v>9.5</x:v>
      </x:c>
      <x:c r="R60" s="57" t="n">
        <x:f>Q60/'Hypothèses &amp; sources'!$B$4</x:f>
        <x:v>2.375</x:v>
      </x:c>
      <x:c r="S60" s="56" t="n">
        <x:f>MAX(0,'Hypothèses &amp; sources'!$B$5*MAX(0,MIN(100,'Hypothèses &amp; sources'!$B$10-R60*'Hypothèses &amp; sources'!$B$9))+'Hypothèses &amp; sources'!$B$6*(G60/5*100)+'Hypothèses &amp; sources'!$B$7*(H60/5*100)+'Hypothèses &amp; sources'!$B$8*MAX(0,MIN(100,'Hypothèses &amp; sources'!$B$12-E60*'Hypothèses &amp; sources'!$B$11))-T60)</x:f>
        <x:v>78.83</x:v>
      </x:c>
      <x:c r="T60" s="33" t="n">
        <x:v>0</x:v>
      </x:c>
    </x:row>
    <x:row r="61">
      <x:c r="A61" s="33" t="n">
        <x:v>57</x:v>
      </x:c>
      <x:c r="B61" s="38" t="str">
        <x:v>Tikka-spiced chicken kebabs</x:v>
      </x:c>
      <x:c r="C61" s="38" t="str">
        <x:v>Curry / poulet</x:v>
      </x:c>
      <x:c r="D61" s="38" t="str">
        <x:v>poulet, yaourt, citron, épices tikka, poivrons, oignon</x:v>
      </x:c>
      <x:c r="E61" s="33" t="n">
        <x:v>20</x:v>
      </x:c>
      <x:c r="F61" s="33" t="n">
        <x:v>35</x:v>
      </x:c>
      <x:c r="G61" s="56" t="n">
        <x:v>4.2</x:v>
      </x:c>
      <x:c r="H61" s="56" t="n">
        <x:v>4</x:v>
      </x:c>
      <x:c r="I61" s="33" t="n">
        <x:v>1</x:v>
      </x:c>
      <x:c r="J61" s="57" t="n">
        <x:v>10</x:v>
      </x:c>
      <x:c r="K61" s="57" t="n">
        <x:f>J61*'Hypothèses &amp; sources'!$E$4</x:f>
        <x:v>10</x:v>
      </x:c>
      <x:c r="L61" s="57" t="n">
        <x:f>J61*'Hypothèses &amp; sources'!$F$4</x:f>
        <x:v>10.600000000000001</x:v>
      </x:c>
      <x:c r="M61" s="57" t="n">
        <x:f>J61*'Hypothèses &amp; sources'!$G$4</x:f>
        <x:v>11</x:v>
      </x:c>
      <x:c r="N61" s="57" t="n">
        <x:f>J61*'Hypothèses &amp; sources'!$H$4</x:f>
        <x:v>11.100000000000001</x:v>
      </x:c>
      <x:c r="O61" s="57" t="n">
        <x:f>J61*'Hypothèses &amp; sources'!$I$4</x:f>
        <x:v>12.4</x:v>
      </x:c>
      <x:c r="P61" s="57" t="str">
        <x:v>Super U</x:v>
      </x:c>
      <x:c r="Q61" s="57" t="n">
        <x:f>IF(P61="Lidl",K61,IF(P61="Super U",L61,IF(P61="Carrefour",M61,IF(P61="Auchan",N61,O61))))</x:f>
        <x:v>10.600000000000001</x:v>
      </x:c>
      <x:c r="R61" s="57" t="n">
        <x:f>Q61/'Hypothèses &amp; sources'!$B$4</x:f>
        <x:v>2.6500000000000004</x:v>
      </x:c>
      <x:c r="S61" s="56" t="n">
        <x:f>MAX(0,'Hypothèses &amp; sources'!$B$5*MAX(0,MIN(100,'Hypothèses &amp; sources'!$B$10-R61*'Hypothèses &amp; sources'!$B$9))+'Hypothèses &amp; sources'!$B$6*(G61/5*100)+'Hypothèses &amp; sources'!$B$7*(H61/5*100)+'Hypothèses &amp; sources'!$B$8*MAX(0,MIN(100,'Hypothèses &amp; sources'!$B$12-E61*'Hypothèses &amp; sources'!$B$11))-T61)</x:f>
        <x:v>78.68400000000001</x:v>
      </x:c>
      <x:c r="T61" s="33" t="n">
        <x:v>0</x:v>
      </x:c>
    </x:row>
    <x:row r="62">
      <x:c r="A62" s="33" t="n">
        <x:v>58</x:v>
      </x:c>
      <x:c r="B62" s="38" t="str">
        <x:v>Casserole de thon</x:v>
      </x:c>
      <x:c r="C62" s="38" t="str">
        <x:v>Gratin / farci</x:v>
      </x:c>
      <x:c r="D62" s="38" t="str">
        <x:v>thon en conserve</x:v>
      </x:c>
      <x:c r="E62" s="33" t="n">
        <x:v>25</x:v>
      </x:c>
      <x:c r="F62" s="33" t="n">
        <x:v>55</x:v>
      </x:c>
      <x:c r="G62" s="56" t="n">
        <x:v>3.8</x:v>
      </x:c>
      <x:c r="H62" s="56" t="n">
        <x:v>3.5</x:v>
      </x:c>
      <x:c r="I62" s="33" t="n">
        <x:v>0</x:v>
      </x:c>
      <x:c r="J62" s="57" t="n">
        <x:v>6.4</x:v>
      </x:c>
      <x:c r="K62" s="57" t="n">
        <x:f>J62*'Hypothèses &amp; sources'!$E$4</x:f>
        <x:v>6.4</x:v>
      </x:c>
      <x:c r="L62" s="57" t="n">
        <x:f>J62*'Hypothèses &amp; sources'!$F$4</x:f>
        <x:v>6.784000000000001</x:v>
      </x:c>
      <x:c r="M62" s="57" t="n">
        <x:f>J62*'Hypothèses &amp; sources'!$G$4</x:f>
        <x:v>7.040000000000001</x:v>
      </x:c>
      <x:c r="N62" s="57" t="n">
        <x:f>J62*'Hypothèses &amp; sources'!$H$4</x:f>
        <x:v>7.104000000000001</x:v>
      </x:c>
      <x:c r="O62" s="57" t="n">
        <x:f>J62*'Hypothèses &amp; sources'!$I$4</x:f>
        <x:v>7.936</x:v>
      </x:c>
      <x:c r="P62" s="57" t="str">
        <x:v>Lidl</x:v>
      </x:c>
      <x:c r="Q62" s="57" t="n">
        <x:f>IF(P62="Lidl",K62,IF(P62="Super U",L62,IF(P62="Carrefour",M62,IF(P62="Auchan",N62,O62))))</x:f>
        <x:v>6.4</x:v>
      </x:c>
      <x:c r="R62" s="57" t="n">
        <x:f>Q62/'Hypothèses &amp; sources'!$B$4</x:f>
        <x:v>1.6</x:v>
      </x:c>
      <x:c r="S62" s="56" t="n">
        <x:f>MAX(0,'Hypothèses &amp; sources'!$B$5*MAX(0,MIN(100,'Hypothèses &amp; sources'!$B$10-R62*'Hypothèses &amp; sources'!$B$9))+'Hypothèses &amp; sources'!$B$6*(G62/5*100)+'Hypothèses &amp; sources'!$B$7*(H62/5*100)+'Hypothèses &amp; sources'!$B$8*MAX(0,MIN(100,'Hypothèses &amp; sources'!$B$12-E62*'Hypothèses &amp; sources'!$B$11))-T62)</x:f>
        <x:v>78.61599999999999</x:v>
      </x:c>
      <x:c r="T62" s="33" t="n">
        <x:v>0</x:v>
      </x:c>
    </x:row>
    <x:row r="63">
      <x:c r="A63" s="33" t="n">
        <x:v>59</x:v>
      </x:c>
      <x:c r="B63" s="38" t="str">
        <x:v>Penne alla vodka</x:v>
      </x:c>
      <x:c r="C63" s="38" t="str">
        <x:v>Pâtes</x:v>
      </x:c>
      <x:c r="D63" s="38" t="str">
        <x:v>penne, tomates, crème, vodka, parmesan, oignon</x:v>
      </x:c>
      <x:c r="E63" s="33" t="n">
        <x:v>15</x:v>
      </x:c>
      <x:c r="F63" s="33" t="n">
        <x:v>30</x:v>
      </x:c>
      <x:c r="G63" s="56" t="n">
        <x:v>4</x:v>
      </x:c>
      <x:c r="H63" s="56" t="n">
        <x:v>3</x:v>
      </x:c>
      <x:c r="I63" s="33" t="n">
        <x:v>0</x:v>
      </x:c>
      <x:c r="J63" s="57" t="n">
        <x:v>8</x:v>
      </x:c>
      <x:c r="K63" s="57" t="n">
        <x:f>J63*'Hypothèses &amp; sources'!$E$4</x:f>
        <x:v>8</x:v>
      </x:c>
      <x:c r="L63" s="57" t="n">
        <x:f>J63*'Hypothèses &amp; sources'!$F$4</x:f>
        <x:v>8.48</x:v>
      </x:c>
      <x:c r="M63" s="57" t="n">
        <x:f>J63*'Hypothèses &amp; sources'!$G$4</x:f>
        <x:v>8.8</x:v>
      </x:c>
      <x:c r="N63" s="57" t="n">
        <x:f>J63*'Hypothèses &amp; sources'!$H$4</x:f>
        <x:v>8.88</x:v>
      </x:c>
      <x:c r="O63" s="57" t="n">
        <x:f>J63*'Hypothèses &amp; sources'!$I$4</x:f>
        <x:v>9.92</x:v>
      </x:c>
      <x:c r="P63" s="57" t="str">
        <x:v>Lidl</x:v>
      </x:c>
      <x:c r="Q63" s="57" t="n">
        <x:f>IF(P63="Lidl",K63,IF(P63="Super U",L63,IF(P63="Carrefour",M63,IF(P63="Auchan",N63,O63))))</x:f>
        <x:v>8</x:v>
      </x:c>
      <x:c r="R63" s="57" t="n">
        <x:f>Q63/'Hypothèses &amp; sources'!$B$4</x:f>
        <x:v>2</x:v>
      </x:c>
      <x:c r="S63" s="56" t="n">
        <x:f>MAX(0,'Hypothèses &amp; sources'!$B$5*MAX(0,MIN(100,'Hypothèses &amp; sources'!$B$10-R63*'Hypothèses &amp; sources'!$B$9))+'Hypothèses &amp; sources'!$B$6*(G63/5*100)+'Hypothèses &amp; sources'!$B$7*(H63/5*100)+'Hypothèses &amp; sources'!$B$8*MAX(0,MIN(100,'Hypothèses &amp; sources'!$B$12-E63*'Hypothèses &amp; sources'!$B$11))-T63)</x:f>
        <x:v>78.55999999999999</x:v>
      </x:c>
      <x:c r="T63" s="33" t="n">
        <x:v>0</x:v>
      </x:c>
    </x:row>
    <x:row r="64">
      <x:c r="A64" s="33" t="n">
        <x:v>60</x:v>
      </x:c>
      <x:c r="B64" s="38" t="str">
        <x:v>Ramen miso</x:v>
      </x:c>
      <x:c r="C64" s="38" t="str">
        <x:v>Soupe / bouillon</x:v>
      </x:c>
      <x:c r="D64" s="38" t="str">
        <x:v>bouillon, oignon, pâtes / nouilles, miso, algues ou champignons, légumes</x:v>
      </x:c>
      <x:c r="E64" s="33" t="n">
        <x:v>15</x:v>
      </x:c>
      <x:c r="F64" s="33" t="n">
        <x:v>35</x:v>
      </x:c>
      <x:c r="G64" s="56" t="n">
        <x:v>3.5</x:v>
      </x:c>
      <x:c r="H64" s="56" t="n">
        <x:v>3.5</x:v>
      </x:c>
      <x:c r="I64" s="33" t="n">
        <x:v>2</x:v>
      </x:c>
      <x:c r="J64" s="57" t="n">
        <x:v>6.6</x:v>
      </x:c>
      <x:c r="K64" s="57" t="n">
        <x:f>J64*'Hypothèses &amp; sources'!$E$4</x:f>
        <x:v>6.6</x:v>
      </x:c>
      <x:c r="L64" s="57" t="n">
        <x:f>J64*'Hypothèses &amp; sources'!$F$4</x:f>
        <x:v>6.9959999999999996</x:v>
      </x:c>
      <x:c r="M64" s="57" t="n">
        <x:f>J64*'Hypothèses &amp; sources'!$G$4</x:f>
        <x:v>7.26</x:v>
      </x:c>
      <x:c r="N64" s="57" t="n">
        <x:f>J64*'Hypothèses &amp; sources'!$H$4</x:f>
        <x:v>7.3260000000000005</x:v>
      </x:c>
      <x:c r="O64" s="57" t="n">
        <x:f>J64*'Hypothèses &amp; sources'!$I$4</x:f>
        <x:v>8.184</x:v>
      </x:c>
      <x:c r="P64" s="57" t="str">
        <x:v>Carrefour</x:v>
      </x:c>
      <x:c r="Q64" s="57" t="n">
        <x:f>IF(P64="Lidl",K64,IF(P64="Super U",L64,IF(P64="Carrefour",M64,IF(P64="Auchan",N64,O64))))</x:f>
        <x:v>7.26</x:v>
      </x:c>
      <x:c r="R64" s="57" t="n">
        <x:f>Q64/'Hypothèses &amp; sources'!$B$4</x:f>
        <x:v>1.815</x:v>
      </x:c>
      <x:c r="S64" s="56" t="n">
        <x:f>MAX(0,'Hypothèses &amp; sources'!$B$5*MAX(0,MIN(100,'Hypothèses &amp; sources'!$B$10-R64*'Hypothèses &amp; sources'!$B$9))+'Hypothèses &amp; sources'!$B$6*(G64/5*100)+'Hypothèses &amp; sources'!$B$7*(H64/5*100)+'Hypothèses &amp; sources'!$B$8*MAX(0,MIN(100,'Hypothèses &amp; sources'!$B$12-E64*'Hypothèses &amp; sources'!$B$11))-T64)</x:f>
        <x:v>78.49239999999999</x:v>
      </x:c>
      <x:c r="T64" s="33" t="n">
        <x:v>0</x:v>
      </x:c>
    </x:row>
    <x:row r="65">
      <x:c r="A65" s="33" t="n">
        <x:v>61</x:v>
      </x:c>
      <x:c r="B65" s="38" t="str">
        <x:v>Tomato soup with basil and parmesan</x:v>
      </x:c>
      <x:c r="C65" s="38" t="str">
        <x:v>Soupe / bouillon</x:v>
      </x:c>
      <x:c r="D65" s="38" t="str">
        <x:v>bouillon, oignon, tomates, crème / fromage</x:v>
      </x:c>
      <x:c r="E65" s="33" t="n">
        <x:v>15</x:v>
      </x:c>
      <x:c r="F65" s="33" t="n">
        <x:v>35</x:v>
      </x:c>
      <x:c r="G65" s="56" t="n">
        <x:v>3.5</x:v>
      </x:c>
      <x:c r="H65" s="56" t="n">
        <x:v>3.2</x:v>
      </x:c>
      <x:c r="I65" s="33" t="n">
        <x:v>0</x:v>
      </x:c>
      <x:c r="J65" s="57" t="n">
        <x:v>6.5</x:v>
      </x:c>
      <x:c r="K65" s="57" t="n">
        <x:f>J65*'Hypothèses &amp; sources'!$E$4</x:f>
        <x:v>6.5</x:v>
      </x:c>
      <x:c r="L65" s="57" t="n">
        <x:f>J65*'Hypothèses &amp; sources'!$F$4</x:f>
        <x:v>6.890000000000001</x:v>
      </x:c>
      <x:c r="M65" s="57" t="n">
        <x:f>J65*'Hypothèses &amp; sources'!$G$4</x:f>
        <x:v>7.15</x:v>
      </x:c>
      <x:c r="N65" s="57" t="n">
        <x:f>J65*'Hypothèses &amp; sources'!$H$4</x:f>
        <x:v>7.215000000000001</x:v>
      </x:c>
      <x:c r="O65" s="57" t="n">
        <x:f>J65*'Hypothèses &amp; sources'!$I$4</x:f>
        <x:v>8.06</x:v>
      </x:c>
      <x:c r="P65" s="57" t="str">
        <x:v>Lidl</x:v>
      </x:c>
      <x:c r="Q65" s="57" t="n">
        <x:f>IF(P65="Lidl",K65,IF(P65="Super U",L65,IF(P65="Carrefour",M65,IF(P65="Auchan",N65,O65))))</x:f>
        <x:v>6.5</x:v>
      </x:c>
      <x:c r="R65" s="57" t="n">
        <x:f>Q65/'Hypothèses &amp; sources'!$B$4</x:f>
        <x:v>1.625</x:v>
      </x:c>
      <x:c r="S65" s="56" t="n">
        <x:f>MAX(0,'Hypothèses &amp; sources'!$B$5*MAX(0,MIN(100,'Hypothèses &amp; sources'!$B$10-R65*'Hypothèses &amp; sources'!$B$9))+'Hypothèses &amp; sources'!$B$6*(G65/5*100)+'Hypothèses &amp; sources'!$B$7*(H65/5*100)+'Hypothèses &amp; sources'!$B$8*MAX(0,MIN(100,'Hypothèses &amp; sources'!$B$12-E65*'Hypothèses &amp; sources'!$B$11))-T65)</x:f>
        <x:v>78.36999999999999</x:v>
      </x:c>
      <x:c r="T65" s="33" t="n">
        <x:v>0</x:v>
      </x:c>
    </x:row>
    <x:row r="66">
      <x:c r="A66" s="33" t="n">
        <x:v>62</x:v>
      </x:c>
      <x:c r="B66" s="38" t="str">
        <x:v>Vindaloo</x:v>
      </x:c>
      <x:c r="C66" s="38" t="str">
        <x:v>Curry / viande</x:v>
      </x:c>
      <x:c r="D66" s="38" t="str">
        <x:v>porc ou poulet, vinaigre, ail, gingembre, piment, épices</x:v>
      </x:c>
      <x:c r="E66" s="33" t="n">
        <x:v>25</x:v>
      </x:c>
      <x:c r="F66" s="33" t="n">
        <x:v>60</x:v>
      </x:c>
      <x:c r="G66" s="56" t="n">
        <x:v>4.5</x:v>
      </x:c>
      <x:c r="H66" s="56" t="n">
        <x:v>3.8</x:v>
      </x:c>
      <x:c r="I66" s="33" t="n">
        <x:v>1</x:v>
      </x:c>
      <x:c r="J66" s="57" t="n">
        <x:v>10</x:v>
      </x:c>
      <x:c r="K66" s="57" t="n">
        <x:f>J66*'Hypothèses &amp; sources'!$E$4</x:f>
        <x:v>10</x:v>
      </x:c>
      <x:c r="L66" s="57" t="n">
        <x:f>J66*'Hypothèses &amp; sources'!$F$4</x:f>
        <x:v>10.600000000000001</x:v>
      </x:c>
      <x:c r="M66" s="57" t="n">
        <x:f>J66*'Hypothèses &amp; sources'!$G$4</x:f>
        <x:v>11</x:v>
      </x:c>
      <x:c r="N66" s="57" t="n">
        <x:f>J66*'Hypothèses &amp; sources'!$H$4</x:f>
        <x:v>11.100000000000001</x:v>
      </x:c>
      <x:c r="O66" s="57" t="n">
        <x:f>J66*'Hypothèses &amp; sources'!$I$4</x:f>
        <x:v>12.4</x:v>
      </x:c>
      <x:c r="P66" s="57" t="str">
        <x:v>Super U</x:v>
      </x:c>
      <x:c r="Q66" s="57" t="n">
        <x:f>IF(P66="Lidl",K66,IF(P66="Super U",L66,IF(P66="Carrefour",M66,IF(P66="Auchan",N66,O66))))</x:f>
        <x:v>10.600000000000001</x:v>
      </x:c>
      <x:c r="R66" s="57" t="n">
        <x:f>Q66/'Hypothèses &amp; sources'!$B$4</x:f>
        <x:v>2.6500000000000004</x:v>
      </x:c>
      <x:c r="S66" s="56" t="n">
        <x:f>MAX(0,'Hypothèses &amp; sources'!$B$5*MAX(0,MIN(100,'Hypothèses &amp; sources'!$B$10-R66*'Hypothèses &amp; sources'!$B$9))+'Hypothèses &amp; sources'!$B$6*(G66/5*100)+'Hypothèses &amp; sources'!$B$7*(H66/5*100)+'Hypothèses &amp; sources'!$B$8*MAX(0,MIN(100,'Hypothèses &amp; sources'!$B$12-E66*'Hypothèses &amp; sources'!$B$11))-T66)</x:f>
        <x:v>78.32399999999998</x:v>
      </x:c>
      <x:c r="T66" s="33" t="n">
        <x:v>0</x:v>
      </x:c>
    </x:row>
    <x:row r="67">
      <x:c r="A67" s="33" t="n">
        <x:v>63</x:v>
      </x:c>
      <x:c r="B67" s="38" t="str">
        <x:v>Cilantro lemon wings</x:v>
      </x:c>
      <x:c r="C67" s="38" t="str">
        <x:v>Poulet / ailes</x:v>
      </x:c>
      <x:c r="D67" s="38" t="str">
        <x:v>ailes de poulet, coriandre, citron, ail, huile, épices</x:v>
      </x:c>
      <x:c r="E67" s="33" t="n">
        <x:v>15</x:v>
      </x:c>
      <x:c r="F67" s="33" t="n">
        <x:v>35</x:v>
      </x:c>
      <x:c r="G67" s="56" t="n">
        <x:v>4.1</x:v>
      </x:c>
      <x:c r="H67" s="56" t="n">
        <x:v>3.3</x:v>
      </x:c>
      <x:c r="I67" s="33" t="n">
        <x:v>0</x:v>
      </x:c>
      <x:c r="J67" s="57" t="n">
        <x:v>9.5</x:v>
      </x:c>
      <x:c r="K67" s="57" t="n">
        <x:f>J67*'Hypothèses &amp; sources'!$E$4</x:f>
        <x:v>9.5</x:v>
      </x:c>
      <x:c r="L67" s="57" t="n">
        <x:f>J67*'Hypothèses &amp; sources'!$F$4</x:f>
        <x:v>10.07</x:v>
      </x:c>
      <x:c r="M67" s="57" t="n">
        <x:f>J67*'Hypothèses &amp; sources'!$G$4</x:f>
        <x:v>10.450000000000001</x:v>
      </x:c>
      <x:c r="N67" s="57" t="n">
        <x:f>J67*'Hypothèses &amp; sources'!$H$4</x:f>
        <x:v>10.545000000000002</x:v>
      </x:c>
      <x:c r="O67" s="57" t="n">
        <x:f>J67*'Hypothèses &amp; sources'!$I$4</x:f>
        <x:v>11.78</x:v>
      </x:c>
      <x:c r="P67" s="57" t="str">
        <x:v>Lidl</x:v>
      </x:c>
      <x:c r="Q67" s="57" t="n">
        <x:f>IF(P67="Lidl",K67,IF(P67="Super U",L67,IF(P67="Carrefour",M67,IF(P67="Auchan",N67,O67))))</x:f>
        <x:v>9.5</x:v>
      </x:c>
      <x:c r="R67" s="57" t="n">
        <x:f>Q67/'Hypothèses &amp; sources'!$B$4</x:f>
        <x:v>2.375</x:v>
      </x:c>
      <x:c r="S67" s="56" t="n">
        <x:f>MAX(0,'Hypothèses &amp; sources'!$B$5*MAX(0,MIN(100,'Hypothèses &amp; sources'!$B$10-R67*'Hypothèses &amp; sources'!$B$9))+'Hypothèses &amp; sources'!$B$6*(G67/5*100)+'Hypothèses &amp; sources'!$B$7*(H67/5*100)+'Hypothèses &amp; sources'!$B$8*MAX(0,MIN(100,'Hypothèses &amp; sources'!$B$12-E67*'Hypothèses &amp; sources'!$B$11))-T67)</x:f>
        <x:v>78.30999999999999</x:v>
      </x:c>
      <x:c r="T67" s="33" t="n">
        <x:v>0</x:v>
      </x:c>
    </x:row>
    <x:row r="68">
      <x:c r="A68" s="33" t="n">
        <x:v>64</x:v>
      </x:c>
      <x:c r="B68" s="38" t="str">
        <x:v>Bacon &amp; sausages omelette</x:v>
      </x:c>
      <x:c r="C68" s="38" t="str">
        <x:v>Plat complet</x:v>
      </x:c>
      <x:c r="D68" s="38" t="str">
        <x:v>œufs, charcuterie / saucisse</x:v>
      </x:c>
      <x:c r="E68" s="33" t="n">
        <x:v>10</x:v>
      </x:c>
      <x:c r="F68" s="33" t="n">
        <x:v>25</x:v>
      </x:c>
      <x:c r="G68" s="56" t="n">
        <x:v>4.3</x:v>
      </x:c>
      <x:c r="H68" s="56" t="n">
        <x:v>2.7</x:v>
      </x:c>
      <x:c r="I68" s="33" t="n">
        <x:v>0</x:v>
      </x:c>
      <x:c r="J68" s="57" t="n">
        <x:v>9.8</x:v>
      </x:c>
      <x:c r="K68" s="57" t="n">
        <x:f>J68*'Hypothèses &amp; sources'!$E$4</x:f>
        <x:v>9.8</x:v>
      </x:c>
      <x:c r="L68" s="57" t="n">
        <x:f>J68*'Hypothèses &amp; sources'!$F$4</x:f>
        <x:v>10.388000000000002</x:v>
      </x:c>
      <x:c r="M68" s="57" t="n">
        <x:f>J68*'Hypothèses &amp; sources'!$G$4</x:f>
        <x:v>10.780000000000001</x:v>
      </x:c>
      <x:c r="N68" s="57" t="n">
        <x:f>J68*'Hypothèses &amp; sources'!$H$4</x:f>
        <x:v>10.878000000000002</x:v>
      </x:c>
      <x:c r="O68" s="57" t="n">
        <x:f>J68*'Hypothèses &amp; sources'!$I$4</x:f>
        <x:v>12.152000000000001</x:v>
      </x:c>
      <x:c r="P68" s="57" t="str">
        <x:v>Lidl</x:v>
      </x:c>
      <x:c r="Q68" s="57" t="n">
        <x:f>IF(P68="Lidl",K68,IF(P68="Super U",L68,IF(P68="Carrefour",M68,IF(P68="Auchan",N68,O68))))</x:f>
        <x:v>9.8</x:v>
      </x:c>
      <x:c r="R68" s="57" t="n">
        <x:f>Q68/'Hypothèses &amp; sources'!$B$4</x:f>
        <x:v>2.45</x:v>
      </x:c>
      <x:c r="S68" s="56" t="n">
        <x:f>MAX(0,'Hypothèses &amp; sources'!$B$5*MAX(0,MIN(100,'Hypothèses &amp; sources'!$B$10-R68*'Hypothèses &amp; sources'!$B$9))+'Hypothèses &amp; sources'!$B$6*(G68/5*100)+'Hypothèses &amp; sources'!$B$7*(H68/5*100)+'Hypothèses &amp; sources'!$B$8*MAX(0,MIN(100,'Hypothèses &amp; sources'!$B$12-E68*'Hypothèses &amp; sources'!$B$11))-T68)</x:f>
        <x:v>78.212</x:v>
      </x:c>
      <x:c r="T68" s="33" t="n">
        <x:v>0</x:v>
      </x:c>
    </x:row>
    <x:row r="69">
      <x:c r="A69" s="33" t="n">
        <x:v>65</x:v>
      </x:c>
      <x:c r="B69" s="38" t="str">
        <x:v>Pozole</x:v>
      </x:c>
      <x:c r="C69" s="38" t="str">
        <x:v>Soupe / viande</x:v>
      </x:c>
      <x:c r="D69" s="38" t="str">
        <x:v>porc ou poulet, maïs hominy, piment, chou, radis, citron vert</x:v>
      </x:c>
      <x:c r="E69" s="33" t="n">
        <x:v>25</x:v>
      </x:c>
      <x:c r="F69" s="33" t="n">
        <x:v>90</x:v>
      </x:c>
      <x:c r="G69" s="56" t="n">
        <x:v>4.8</x:v>
      </x:c>
      <x:c r="H69" s="56" t="n">
        <x:v>4.2</x:v>
      </x:c>
      <x:c r="I69" s="33" t="n">
        <x:v>2</x:v>
      </x:c>
      <x:c r="J69" s="57" t="n">
        <x:v>12</x:v>
      </x:c>
      <x:c r="K69" s="57" t="n">
        <x:f>J69*'Hypothèses &amp; sources'!$E$4</x:f>
        <x:v>12</x:v>
      </x:c>
      <x:c r="L69" s="57" t="n">
        <x:f>J69*'Hypothèses &amp; sources'!$F$4</x:f>
        <x:v>12.72</x:v>
      </x:c>
      <x:c r="M69" s="57" t="n">
        <x:f>J69*'Hypothèses &amp; sources'!$G$4</x:f>
        <x:v>13.200000000000001</x:v>
      </x:c>
      <x:c r="N69" s="57" t="n">
        <x:f>J69*'Hypothèses &amp; sources'!$H$4</x:f>
        <x:v>13.32</x:v>
      </x:c>
      <x:c r="O69" s="57" t="n">
        <x:f>J69*'Hypothèses &amp; sources'!$I$4</x:f>
        <x:v>14.879999999999999</x:v>
      </x:c>
      <x:c r="P69" s="57" t="str">
        <x:v>Carrefour</x:v>
      </x:c>
      <x:c r="Q69" s="57" t="n">
        <x:f>IF(P69="Lidl",K69,IF(P69="Super U",L69,IF(P69="Carrefour",M69,IF(P69="Auchan",N69,O69))))</x:f>
        <x:v>13.200000000000001</x:v>
      </x:c>
      <x:c r="R69" s="57" t="n">
        <x:f>Q69/'Hypothèses &amp; sources'!$B$4</x:f>
        <x:v>3.3000000000000003</x:v>
      </x:c>
      <x:c r="S69" s="56" t="n">
        <x:f>MAX(0,'Hypothèses &amp; sources'!$B$5*MAX(0,MIN(100,'Hypothèses &amp; sources'!$B$10-R69*'Hypothèses &amp; sources'!$B$9))+'Hypothèses &amp; sources'!$B$6*(G69/5*100)+'Hypothèses &amp; sources'!$B$7*(H69/5*100)+'Hypothèses &amp; sources'!$B$8*MAX(0,MIN(100,'Hypothèses &amp; sources'!$B$12-E69*'Hypothèses &amp; sources'!$B$11))-T69)</x:f>
        <x:v>78.168</x:v>
      </x:c>
      <x:c r="T69" s="33" t="n">
        <x:v>0</x:v>
      </x:c>
    </x:row>
    <x:row r="70">
      <x:c r="A70" s="33" t="n">
        <x:v>66</x:v>
      </x:c>
      <x:c r="B70" s="38" t="str">
        <x:v>The perfect hard-boiled eggs</x:v>
      </x:c>
      <x:c r="C70" s="38" t="str">
        <x:v>Œufs / base</x:v>
      </x:c>
      <x:c r="D70" s="38" t="str">
        <x:v>œufs, eau</x:v>
      </x:c>
      <x:c r="E70" s="33" t="n">
        <x:v>5</x:v>
      </x:c>
      <x:c r="F70" s="33" t="n">
        <x:v>15</x:v>
      </x:c>
      <x:c r="G70" s="56" t="n">
        <x:v>3.5</x:v>
      </x:c>
      <x:c r="H70" s="56" t="n">
        <x:v>3.5</x:v>
      </x:c>
      <x:c r="I70" s="33" t="n">
        <x:v>0</x:v>
      </x:c>
      <x:c r="J70" s="57" t="n">
        <x:v>3.3</x:v>
      </x:c>
      <x:c r="K70" s="57" t="n">
        <x:f>J70*'Hypothèses &amp; sources'!$E$4</x:f>
        <x:v>3.3</x:v>
      </x:c>
      <x:c r="L70" s="57" t="n">
        <x:f>J70*'Hypothèses &amp; sources'!$F$4</x:f>
        <x:v>3.4979999999999998</x:v>
      </x:c>
      <x:c r="M70" s="57" t="n">
        <x:f>J70*'Hypothèses &amp; sources'!$G$4</x:f>
        <x:v>3.63</x:v>
      </x:c>
      <x:c r="N70" s="57" t="n">
        <x:f>J70*'Hypothèses &amp; sources'!$H$4</x:f>
        <x:v>3.6630000000000003</x:v>
      </x:c>
      <x:c r="O70" s="57" t="n">
        <x:f>J70*'Hypothèses &amp; sources'!$I$4</x:f>
        <x:v>4.092</x:v>
      </x:c>
      <x:c r="P70" s="57" t="str">
        <x:v>Lidl</x:v>
      </x:c>
      <x:c r="Q70" s="57" t="n">
        <x:f>IF(P70="Lidl",K70,IF(P70="Super U",L70,IF(P70="Carrefour",M70,IF(P70="Auchan",N70,O70))))</x:f>
        <x:v>3.3</x:v>
      </x:c>
      <x:c r="R70" s="57" t="n">
        <x:f>Q70/'Hypothèses &amp; sources'!$B$4</x:f>
        <x:v>0.825</x:v>
      </x:c>
      <x:c r="S70" s="56" t="n">
        <x:f>MAX(0,'Hypothèses &amp; sources'!$B$5*MAX(0,MIN(100,'Hypothèses &amp; sources'!$B$10-R70*'Hypothèses &amp; sources'!$B$9))+'Hypothèses &amp; sources'!$B$6*(G70/5*100)+'Hypothèses &amp; sources'!$B$7*(H70/5*100)+'Hypothèses &amp; sources'!$B$8*MAX(0,MIN(100,'Hypothèses &amp; sources'!$B$12-E70*'Hypothèses &amp; sources'!$B$11))-T70)</x:f>
        <x:v>78.08</x:v>
      </x:c>
      <x:c r="T70" s="33" t="n">
        <x:v>8</x:v>
      </x:c>
    </x:row>
    <x:row r="71">
      <x:c r="A71" s="33" t="n">
        <x:v>67</x:v>
      </x:c>
      <x:c r="B71" s="38" t="str">
        <x:v>Dirty rice</x:v>
      </x:c>
      <x:c r="C71" s="38" t="str">
        <x:v>Riz / plat complet</x:v>
      </x:c>
      <x:c r="D71" s="38" t="str">
        <x:v>riz, bœuf haché ou saucisse, foie de volaille, poivron, céleri, épices</x:v>
      </x:c>
      <x:c r="E71" s="33" t="n">
        <x:v>20</x:v>
      </x:c>
      <x:c r="F71" s="33" t="n">
        <x:v>40</x:v>
      </x:c>
      <x:c r="G71" s="56" t="n">
        <x:v>4.6</x:v>
      </x:c>
      <x:c r="H71" s="56" t="n">
        <x:v>3.5</x:v>
      </x:c>
      <x:c r="I71" s="33" t="n">
        <x:v>1</x:v>
      </x:c>
      <x:c r="J71" s="57" t="n">
        <x:v>10.8</x:v>
      </x:c>
      <x:c r="K71" s="57" t="n">
        <x:f>J71*'Hypothèses &amp; sources'!$E$4</x:f>
        <x:v>10.8</x:v>
      </x:c>
      <x:c r="L71" s="57" t="n">
        <x:f>J71*'Hypothèses &amp; sources'!$F$4</x:f>
        <x:v>11.448000000000002</x:v>
      </x:c>
      <x:c r="M71" s="57" t="n">
        <x:f>J71*'Hypothèses &amp; sources'!$G$4</x:f>
        <x:v>11.880000000000003</x:v>
      </x:c>
      <x:c r="N71" s="57" t="n">
        <x:f>J71*'Hypothèses &amp; sources'!$H$4</x:f>
        <x:v>11.988000000000001</x:v>
      </x:c>
      <x:c r="O71" s="57" t="n">
        <x:f>J71*'Hypothèses &amp; sources'!$I$4</x:f>
        <x:v>13.392000000000001</x:v>
      </x:c>
      <x:c r="P71" s="57" t="str">
        <x:v>Super U</x:v>
      </x:c>
      <x:c r="Q71" s="57" t="n">
        <x:f>IF(P71="Lidl",K71,IF(P71="Super U",L71,IF(P71="Carrefour",M71,IF(P71="Auchan",N71,O71))))</x:f>
        <x:v>11.448000000000002</x:v>
      </x:c>
      <x:c r="R71" s="57" t="n">
        <x:f>Q71/'Hypothèses &amp; sources'!$B$4</x:f>
        <x:v>2.8620000000000005</x:v>
      </x:c>
      <x:c r="S71" s="56" t="n">
        <x:f>MAX(0,'Hypothèses &amp; sources'!$B$5*MAX(0,MIN(100,'Hypothèses &amp; sources'!$B$10-R71*'Hypothèses &amp; sources'!$B$9))+'Hypothèses &amp; sources'!$B$6*(G71/5*100)+'Hypothèses &amp; sources'!$B$7*(H71/5*100)+'Hypothèses &amp; sources'!$B$8*MAX(0,MIN(100,'Hypothèses &amp; sources'!$B$12-E71*'Hypothèses &amp; sources'!$B$11))-T71)</x:f>
        <x:v>78.05552</x:v>
      </x:c>
      <x:c r="T71" s="33" t="n">
        <x:v>0</x:v>
      </x:c>
    </x:row>
    <x:row r="72">
      <x:c r="A72" s="33" t="n">
        <x:v>68</x:v>
      </x:c>
      <x:c r="B72" s="38" t="str">
        <x:v>Scotch eggs</x:v>
      </x:c>
      <x:c r="C72" s="38" t="str">
        <x:v>Œufs / viande</x:v>
      </x:c>
      <x:c r="D72" s="38" t="str">
        <x:v>œufs, chair à saucisse, chapelure, farine</x:v>
      </x:c>
      <x:c r="E72" s="33" t="n">
        <x:v>25</x:v>
      </x:c>
      <x:c r="F72" s="33" t="n">
        <x:v>45</x:v>
      </x:c>
      <x:c r="G72" s="56" t="n">
        <x:v>4.5</x:v>
      </x:c>
      <x:c r="H72" s="56" t="n">
        <x:v>2.8</x:v>
      </x:c>
      <x:c r="I72" s="33" t="n">
        <x:v>0</x:v>
      </x:c>
      <x:c r="J72" s="57" t="n">
        <x:v>8</x:v>
      </x:c>
      <x:c r="K72" s="57" t="n">
        <x:f>J72*'Hypothèses &amp; sources'!$E$4</x:f>
        <x:v>8</x:v>
      </x:c>
      <x:c r="L72" s="57" t="n">
        <x:f>J72*'Hypothèses &amp; sources'!$F$4</x:f>
        <x:v>8.48</x:v>
      </x:c>
      <x:c r="M72" s="57" t="n">
        <x:f>J72*'Hypothèses &amp; sources'!$G$4</x:f>
        <x:v>8.8</x:v>
      </x:c>
      <x:c r="N72" s="57" t="n">
        <x:f>J72*'Hypothèses &amp; sources'!$H$4</x:f>
        <x:v>8.88</x:v>
      </x:c>
      <x:c r="O72" s="57" t="n">
        <x:f>J72*'Hypothèses &amp; sources'!$I$4</x:f>
        <x:v>9.92</x:v>
      </x:c>
      <x:c r="P72" s="57" t="str">
        <x:v>Lidl</x:v>
      </x:c>
      <x:c r="Q72" s="57" t="n">
        <x:f>IF(P72="Lidl",K72,IF(P72="Super U",L72,IF(P72="Carrefour",M72,IF(P72="Auchan",N72,O72))))</x:f>
        <x:v>8</x:v>
      </x:c>
      <x:c r="R72" s="57" t="n">
        <x:f>Q72/'Hypothèses &amp; sources'!$B$4</x:f>
        <x:v>2</x:v>
      </x:c>
      <x:c r="S72" s="56" t="n">
        <x:f>MAX(0,'Hypothèses &amp; sources'!$B$5*MAX(0,MIN(100,'Hypothèses &amp; sources'!$B$10-R72*'Hypothèses &amp; sources'!$B$9))+'Hypothèses &amp; sources'!$B$6*(G72/5*100)+'Hypothèses &amp; sources'!$B$7*(H72/5*100)+'Hypothèses &amp; sources'!$B$8*MAX(0,MIN(100,'Hypothèses &amp; sources'!$B$12-E72*'Hypothèses &amp; sources'!$B$11))-T72)</x:f>
        <x:v>78</x:v>
      </x:c>
      <x:c r="T72" s="33" t="n">
        <x:v>0</x:v>
      </x:c>
    </x:row>
    <x:row r="73">
      <x:c r="A73" s="33" t="n">
        <x:v>69</x:v>
      </x:c>
      <x:c r="B73" s="38" t="str">
        <x:v>Chili lime chicken</x:v>
      </x:c>
      <x:c r="C73" s="38" t="str">
        <x:v>Plat complet</x:v>
      </x:c>
      <x:c r="D73" s="38" t="str">
        <x:v>piment / chili, citron vert, poulet</x:v>
      </x:c>
      <x:c r="E73" s="33" t="n">
        <x:v>20</x:v>
      </x:c>
      <x:c r="F73" s="33" t="n">
        <x:v>40</x:v>
      </x:c>
      <x:c r="G73" s="56" t="n">
        <x:v>3.9</x:v>
      </x:c>
      <x:c r="H73" s="56" t="n">
        <x:v>3.5</x:v>
      </x:c>
      <x:c r="I73" s="33" t="n">
        <x:v>0</x:v>
      </x:c>
      <x:c r="J73" s="57" t="n">
        <x:v>8.5</x:v>
      </x:c>
      <x:c r="K73" s="57" t="n">
        <x:f>J73*'Hypothèses &amp; sources'!$E$4</x:f>
        <x:v>8.5</x:v>
      </x:c>
      <x:c r="L73" s="57" t="n">
        <x:f>J73*'Hypothèses &amp; sources'!$F$4</x:f>
        <x:v>9.01</x:v>
      </x:c>
      <x:c r="M73" s="57" t="n">
        <x:f>J73*'Hypothèses &amp; sources'!$G$4</x:f>
        <x:v>9.350000000000001</x:v>
      </x:c>
      <x:c r="N73" s="57" t="n">
        <x:f>J73*'Hypothèses &amp; sources'!$H$4</x:f>
        <x:v>9.435</x:v>
      </x:c>
      <x:c r="O73" s="57" t="n">
        <x:f>J73*'Hypothèses &amp; sources'!$I$4</x:f>
        <x:v>10.54</x:v>
      </x:c>
      <x:c r="P73" s="57" t="str">
        <x:v>Lidl</x:v>
      </x:c>
      <x:c r="Q73" s="57" t="n">
        <x:f>IF(P73="Lidl",K73,IF(P73="Super U",L73,IF(P73="Carrefour",M73,IF(P73="Auchan",N73,O73))))</x:f>
        <x:v>8.5</x:v>
      </x:c>
      <x:c r="R73" s="57" t="n">
        <x:f>Q73/'Hypothèses &amp; sources'!$B$4</x:f>
        <x:v>2.125</x:v>
      </x:c>
      <x:c r="S73" s="56" t="n">
        <x:f>MAX(0,'Hypothèses &amp; sources'!$B$5*MAX(0,MIN(100,'Hypothèses &amp; sources'!$B$10-R73*'Hypothèses &amp; sources'!$B$9))+'Hypothèses &amp; sources'!$B$6*(G73/5*100)+'Hypothèses &amp; sources'!$B$7*(H73/5*100)+'Hypothèses &amp; sources'!$B$8*MAX(0,MIN(100,'Hypothèses &amp; sources'!$B$12-E73*'Hypothèses &amp; sources'!$B$11))-T73)</x:f>
        <x:v>77.85000000000001</x:v>
      </x:c>
      <x:c r="T73" s="33" t="n">
        <x:v>0</x:v>
      </x:c>
    </x:row>
    <x:row r="74">
      <x:c r="A74" s="33" t="n">
        <x:v>70</x:v>
      </x:c>
      <x:c r="B74" s="38" t="str">
        <x:v>Cilantro lime chicken</x:v>
      </x:c>
      <x:c r="C74" s="38" t="str">
        <x:v>Plat complet</x:v>
      </x:c>
      <x:c r="D74" s="38" t="str">
        <x:v>citron vert, coriandre, poulet</x:v>
      </x:c>
      <x:c r="E74" s="33" t="n">
        <x:v>20</x:v>
      </x:c>
      <x:c r="F74" s="33" t="n">
        <x:v>40</x:v>
      </x:c>
      <x:c r="G74" s="56" t="n">
        <x:v>3.9</x:v>
      </x:c>
      <x:c r="H74" s="56" t="n">
        <x:v>3.5</x:v>
      </x:c>
      <x:c r="I74" s="33" t="n">
        <x:v>0</x:v>
      </x:c>
      <x:c r="J74" s="57" t="n">
        <x:v>8.5</x:v>
      </x:c>
      <x:c r="K74" s="57" t="n">
        <x:f>J74*'Hypothèses &amp; sources'!$E$4</x:f>
        <x:v>8.5</x:v>
      </x:c>
      <x:c r="L74" s="57" t="n">
        <x:f>J74*'Hypothèses &amp; sources'!$F$4</x:f>
        <x:v>9.01</x:v>
      </x:c>
      <x:c r="M74" s="57" t="n">
        <x:f>J74*'Hypothèses &amp; sources'!$G$4</x:f>
        <x:v>9.350000000000001</x:v>
      </x:c>
      <x:c r="N74" s="57" t="n">
        <x:f>J74*'Hypothèses &amp; sources'!$H$4</x:f>
        <x:v>9.435</x:v>
      </x:c>
      <x:c r="O74" s="57" t="n">
        <x:f>J74*'Hypothèses &amp; sources'!$I$4</x:f>
        <x:v>10.54</x:v>
      </x:c>
      <x:c r="P74" s="57" t="str">
        <x:v>Lidl</x:v>
      </x:c>
      <x:c r="Q74" s="57" t="n">
        <x:f>IF(P74="Lidl",K74,IF(P74="Super U",L74,IF(P74="Carrefour",M74,IF(P74="Auchan",N74,O74))))</x:f>
        <x:v>8.5</x:v>
      </x:c>
      <x:c r="R74" s="57" t="n">
        <x:f>Q74/'Hypothèses &amp; sources'!$B$4</x:f>
        <x:v>2.125</x:v>
      </x:c>
      <x:c r="S74" s="56" t="n">
        <x:f>MAX(0,'Hypothèses &amp; sources'!$B$5*MAX(0,MIN(100,'Hypothèses &amp; sources'!$B$10-R74*'Hypothèses &amp; sources'!$B$9))+'Hypothèses &amp; sources'!$B$6*(G74/5*100)+'Hypothèses &amp; sources'!$B$7*(H74/5*100)+'Hypothèses &amp; sources'!$B$8*MAX(0,MIN(100,'Hypothèses &amp; sources'!$B$12-E74*'Hypothèses &amp; sources'!$B$11))-T74)</x:f>
        <x:v>77.85000000000001</x:v>
      </x:c>
      <x:c r="T74" s="33" t="n">
        <x:v>0</x:v>
      </x:c>
    </x:row>
    <x:row r="75">
      <x:c r="A75" s="33" t="n">
        <x:v>71</x:v>
      </x:c>
      <x:c r="B75" s="38" t="str">
        <x:v>Ginger turkey soup</x:v>
      </x:c>
      <x:c r="C75" s="38" t="str">
        <x:v>Soupe / bouillon</x:v>
      </x:c>
      <x:c r="D75" s="38" t="str">
        <x:v>gingembre, bouillon, oignon, dinde, légumes</x:v>
      </x:c>
      <x:c r="E75" s="33" t="n">
        <x:v>15</x:v>
      </x:c>
      <x:c r="F75" s="33" t="n">
        <x:v>35</x:v>
      </x:c>
      <x:c r="G75" s="56" t="n">
        <x:v>3.9</x:v>
      </x:c>
      <x:c r="H75" s="56" t="n">
        <x:v>3.9</x:v>
      </x:c>
      <x:c r="I75" s="33" t="n">
        <x:v>0</x:v>
      </x:c>
      <x:c r="J75" s="57" t="n">
        <x:v>10.7</x:v>
      </x:c>
      <x:c r="K75" s="57" t="n">
        <x:f>J75*'Hypothèses &amp; sources'!$E$4</x:f>
        <x:v>10.7</x:v>
      </x:c>
      <x:c r="L75" s="57" t="n">
        <x:f>J75*'Hypothèses &amp; sources'!$F$4</x:f>
        <x:v>11.342</x:v>
      </x:c>
      <x:c r="M75" s="57" t="n">
        <x:f>J75*'Hypothèses &amp; sources'!$G$4</x:f>
        <x:v>11.77</x:v>
      </x:c>
      <x:c r="N75" s="57" t="n">
        <x:f>J75*'Hypothèses &amp; sources'!$H$4</x:f>
        <x:v>11.877</x:v>
      </x:c>
      <x:c r="O75" s="57" t="n">
        <x:f>J75*'Hypothèses &amp; sources'!$I$4</x:f>
        <x:v>13.267999999999999</x:v>
      </x:c>
      <x:c r="P75" s="57" t="str">
        <x:v>Lidl</x:v>
      </x:c>
      <x:c r="Q75" s="57" t="n">
        <x:f>IF(P75="Lidl",K75,IF(P75="Super U",L75,IF(P75="Carrefour",M75,IF(P75="Auchan",N75,O75))))</x:f>
        <x:v>10.7</x:v>
      </x:c>
      <x:c r="R75" s="57" t="n">
        <x:f>Q75/'Hypothèses &amp; sources'!$B$4</x:f>
        <x:v>2.675</x:v>
      </x:c>
      <x:c r="S75" s="56" t="n">
        <x:f>MAX(0,'Hypothèses &amp; sources'!$B$5*MAX(0,MIN(100,'Hypothèses &amp; sources'!$B$10-R75*'Hypothèses &amp; sources'!$B$9))+'Hypothèses &amp; sources'!$B$6*(G75/5*100)+'Hypothèses &amp; sources'!$B$7*(H75/5*100)+'Hypothèses &amp; sources'!$B$8*MAX(0,MIN(100,'Hypothèses &amp; sources'!$B$12-E75*'Hypothèses &amp; sources'!$B$11))-T75)</x:f>
        <x:v>77.83800000000001</x:v>
      </x:c>
      <x:c r="T75" s="33" t="n">
        <x:v>0</x:v>
      </x:c>
    </x:row>
    <x:row r="76">
      <x:c r="A76" s="33" t="n">
        <x:v>72</x:v>
      </x:c>
      <x:c r="B76" s="38" t="str">
        <x:v>Pierogi casserole</x:v>
      </x:c>
      <x:c r="C76" s="38" t="str">
        <x:v>Gratin / farci</x:v>
      </x:c>
      <x:c r="D76" s="38" t="str">
        <x:v>pierogi, oignon, crème, fromage, bacon</x:v>
      </x:c>
      <x:c r="E76" s="33" t="n">
        <x:v>15</x:v>
      </x:c>
      <x:c r="F76" s="33" t="n">
        <x:v>45</x:v>
      </x:c>
      <x:c r="G76" s="56" t="n">
        <x:v>4.4</x:v>
      </x:c>
      <x:c r="H76" s="56" t="n">
        <x:v>2.7</x:v>
      </x:c>
      <x:c r="I76" s="33" t="n">
        <x:v>1</x:v>
      </x:c>
      <x:c r="J76" s="57" t="n">
        <x:v>9</x:v>
      </x:c>
      <x:c r="K76" s="57" t="n">
        <x:f>J76*'Hypothèses &amp; sources'!$E$4</x:f>
        <x:v>9</x:v>
      </x:c>
      <x:c r="L76" s="57" t="n">
        <x:f>J76*'Hypothèses &amp; sources'!$F$4</x:f>
        <x:v>9.540000000000001</x:v>
      </x:c>
      <x:c r="M76" s="57" t="n">
        <x:f>J76*'Hypothèses &amp; sources'!$G$4</x:f>
        <x:v>9.9</x:v>
      </x:c>
      <x:c r="N76" s="57" t="n">
        <x:f>J76*'Hypothèses &amp; sources'!$H$4</x:f>
        <x:v>9.99</x:v>
      </x:c>
      <x:c r="O76" s="57" t="n">
        <x:f>J76*'Hypothèses &amp; sources'!$I$4</x:f>
        <x:v>11.16</x:v>
      </x:c>
      <x:c r="P76" s="57" t="str">
        <x:v>Super U</x:v>
      </x:c>
      <x:c r="Q76" s="57" t="n">
        <x:f>IF(P76="Lidl",K76,IF(P76="Super U",L76,IF(P76="Carrefour",M76,IF(P76="Auchan",N76,O76))))</x:f>
        <x:v>9.540000000000001</x:v>
      </x:c>
      <x:c r="R76" s="57" t="n">
        <x:f>Q76/'Hypothèses &amp; sources'!$B$4</x:f>
        <x:v>2.3850000000000002</x:v>
      </x:c>
      <x:c r="S76" s="56" t="n">
        <x:f>MAX(0,'Hypothèses &amp; sources'!$B$5*MAX(0,MIN(100,'Hypothèses &amp; sources'!$B$10-R76*'Hypothèses &amp; sources'!$B$9))+'Hypothèses &amp; sources'!$B$6*(G76/5*100)+'Hypothèses &amp; sources'!$B$7*(H76/5*100)+'Hypothèses &amp; sources'!$B$8*MAX(0,MIN(100,'Hypothèses &amp; sources'!$B$12-E76*'Hypothèses &amp; sources'!$B$11))-T76)</x:f>
        <x:v>77.7796</x:v>
      </x:c>
      <x:c r="T76" s="33" t="n">
        <x:v>0</x:v>
      </x:c>
    </x:row>
    <x:row r="77">
      <x:c r="A77" s="33" t="n">
        <x:v>73</x:v>
      </x:c>
      <x:c r="B77" s="38" t="str">
        <x:v>Vietnamese sandwich / banh mi</x:v>
      </x:c>
      <x:c r="C77" s="38" t="str">
        <x:v>Sandwich</x:v>
      </x:c>
      <x:c r="D77" s="38" t="str">
        <x:v>baguette, porc ou poulet, carotte, concombre, coriandre, sauce</x:v>
      </x:c>
      <x:c r="E77" s="33" t="n">
        <x:v>25</x:v>
      </x:c>
      <x:c r="F77" s="33" t="n">
        <x:v>40</x:v>
      </x:c>
      <x:c r="G77" s="56" t="n">
        <x:v>4</x:v>
      </x:c>
      <x:c r="H77" s="56" t="n">
        <x:v>4</x:v>
      </x:c>
      <x:c r="I77" s="33" t="n">
        <x:v>1</x:v>
      </x:c>
      <x:c r="J77" s="57" t="n">
        <x:v>9</x:v>
      </x:c>
      <x:c r="K77" s="57" t="n">
        <x:f>J77*'Hypothèses &amp; sources'!$E$4</x:f>
        <x:v>9</x:v>
      </x:c>
      <x:c r="L77" s="57" t="n">
        <x:f>J77*'Hypothèses &amp; sources'!$F$4</x:f>
        <x:v>9.540000000000001</x:v>
      </x:c>
      <x:c r="M77" s="57" t="n">
        <x:f>J77*'Hypothèses &amp; sources'!$G$4</x:f>
        <x:v>9.9</x:v>
      </x:c>
      <x:c r="N77" s="57" t="n">
        <x:f>J77*'Hypothèses &amp; sources'!$H$4</x:f>
        <x:v>9.99</x:v>
      </x:c>
      <x:c r="O77" s="57" t="n">
        <x:f>J77*'Hypothèses &amp; sources'!$I$4</x:f>
        <x:v>11.16</x:v>
      </x:c>
      <x:c r="P77" s="57" t="str">
        <x:v>Super U</x:v>
      </x:c>
      <x:c r="Q77" s="57" t="n">
        <x:f>IF(P77="Lidl",K77,IF(P77="Super U",L77,IF(P77="Carrefour",M77,IF(P77="Auchan",N77,O77))))</x:f>
        <x:v>9.540000000000001</x:v>
      </x:c>
      <x:c r="R77" s="57" t="n">
        <x:f>Q77/'Hypothèses &amp; sources'!$B$4</x:f>
        <x:v>2.3850000000000002</x:v>
      </x:c>
      <x:c r="S77" s="56" t="n">
        <x:f>MAX(0,'Hypothèses &amp; sources'!$B$5*MAX(0,MIN(100,'Hypothèses &amp; sources'!$B$10-R77*'Hypothèses &amp; sources'!$B$9))+'Hypothèses &amp; sources'!$B$6*(G77/5*100)+'Hypothèses &amp; sources'!$B$7*(H77/5*100)+'Hypothèses &amp; sources'!$B$8*MAX(0,MIN(100,'Hypothèses &amp; sources'!$B$12-E77*'Hypothèses &amp; sources'!$B$11))-T77)</x:f>
        <x:v>77.5796</x:v>
      </x:c>
      <x:c r="T77" s="33" t="n">
        <x:v>0</x:v>
      </x:c>
    </x:row>
    <x:row r="78">
      <x:c r="A78" s="33" t="n">
        <x:v>74</x:v>
      </x:c>
      <x:c r="B78" s="38" t="str">
        <x:v>Basic jasmine rice</x:v>
      </x:c>
      <x:c r="C78" s="38" t="str">
        <x:v>Riz / accompagnement</x:v>
      </x:c>
      <x:c r="D78" s="38" t="str">
        <x:v>riz jasmin, eau, sel</x:v>
      </x:c>
      <x:c r="E78" s="33" t="n">
        <x:v>5</x:v>
      </x:c>
      <x:c r="F78" s="33" t="n">
        <x:v>20</x:v>
      </x:c>
      <x:c r="G78" s="56" t="n">
        <x:v>3.6</x:v>
      </x:c>
      <x:c r="H78" s="56" t="n">
        <x:v>3.2</x:v>
      </x:c>
      <x:c r="I78" s="33" t="n">
        <x:v>0</x:v>
      </x:c>
      <x:c r="J78" s="57" t="n">
        <x:v>2.2</x:v>
      </x:c>
      <x:c r="K78" s="57" t="n">
        <x:f>J78*'Hypothèses &amp; sources'!$E$4</x:f>
        <x:v>2.2</x:v>
      </x:c>
      <x:c r="L78" s="57" t="n">
        <x:f>J78*'Hypothèses &amp; sources'!$F$4</x:f>
        <x:v>2.3320000000000003</x:v>
      </x:c>
      <x:c r="M78" s="57" t="n">
        <x:f>J78*'Hypothèses &amp; sources'!$G$4</x:f>
        <x:v>2.4200000000000004</x:v>
      </x:c>
      <x:c r="N78" s="57" t="n">
        <x:f>J78*'Hypothèses &amp; sources'!$H$4</x:f>
        <x:v>2.4420000000000006</x:v>
      </x:c>
      <x:c r="O78" s="57" t="n">
        <x:f>J78*'Hypothèses &amp; sources'!$I$4</x:f>
        <x:v>2.728</x:v>
      </x:c>
      <x:c r="P78" s="57" t="str">
        <x:v>Lidl</x:v>
      </x:c>
      <x:c r="Q78" s="57" t="n">
        <x:f>IF(P78="Lidl",K78,IF(P78="Super U",L78,IF(P78="Carrefour",M78,IF(P78="Auchan",N78,O78))))</x:f>
        <x:v>2.2</x:v>
      </x:c>
      <x:c r="R78" s="57" t="n">
        <x:f>Q78/'Hypothèses &amp; sources'!$B$4</x:f>
        <x:v>0.55</x:v>
      </x:c>
      <x:c r="S78" s="56" t="n">
        <x:f>MAX(0,'Hypothèses &amp; sources'!$B$5*MAX(0,MIN(100,'Hypothèses &amp; sources'!$B$10-R78*'Hypothèses &amp; sources'!$B$9))+'Hypothèses &amp; sources'!$B$6*(G78/5*100)+'Hypothèses &amp; sources'!$B$7*(H78/5*100)+'Hypothèses &amp; sources'!$B$8*MAX(0,MIN(100,'Hypothèses &amp; sources'!$B$12-E78*'Hypothèses &amp; sources'!$B$11))-T78)</x:f>
        <x:v>77.56</x:v>
      </x:c>
      <x:c r="T78" s="33" t="n">
        <x:v>8</x:v>
      </x:c>
    </x:row>
    <x:row r="79">
      <x:c r="A79" s="33" t="n">
        <x:v>75</x:v>
      </x:c>
      <x:c r="B79" s="38" t="str">
        <x:v>Poivrons poblano rotis</x:v>
      </x:c>
      <x:c r="C79" s="38" t="str">
        <x:v>Plat complet</x:v>
      </x:c>
      <x:c r="D79" s="38" t="str">
        <x:v>poivrons, piments poblano</x:v>
      </x:c>
      <x:c r="E79" s="33" t="n">
        <x:v>20</x:v>
      </x:c>
      <x:c r="F79" s="33" t="n">
        <x:v>90</x:v>
      </x:c>
      <x:c r="G79" s="56" t="n">
        <x:v>3.2</x:v>
      </x:c>
      <x:c r="H79" s="56" t="n">
        <x:v>3.1</x:v>
      </x:c>
      <x:c r="I79" s="33" t="n">
        <x:v>2</x:v>
      </x:c>
      <x:c r="J79" s="57" t="n">
        <x:v>4.1</x:v>
      </x:c>
      <x:c r="K79" s="57" t="n">
        <x:f>J79*'Hypothèses &amp; sources'!$E$4</x:f>
        <x:v>4.1</x:v>
      </x:c>
      <x:c r="L79" s="57" t="n">
        <x:f>J79*'Hypothèses &amp; sources'!$F$4</x:f>
        <x:v>4.346</x:v>
      </x:c>
      <x:c r="M79" s="57" t="n">
        <x:f>J79*'Hypothèses &amp; sources'!$G$4</x:f>
        <x:v>4.51</x:v>
      </x:c>
      <x:c r="N79" s="57" t="n">
        <x:f>J79*'Hypothèses &amp; sources'!$H$4</x:f>
        <x:v>4.551</x:v>
      </x:c>
      <x:c r="O79" s="57" t="n">
        <x:f>J79*'Hypothèses &amp; sources'!$I$4</x:f>
        <x:v>5.084</x:v>
      </x:c>
      <x:c r="P79" s="57" t="str">
        <x:v>Carrefour</x:v>
      </x:c>
      <x:c r="Q79" s="57" t="n">
        <x:f>IF(P79="Lidl",K79,IF(P79="Super U",L79,IF(P79="Carrefour",M79,IF(P79="Auchan",N79,O79))))</x:f>
        <x:v>4.51</x:v>
      </x:c>
      <x:c r="R79" s="57" t="n">
        <x:f>Q79/'Hypothèses &amp; sources'!$B$4</x:f>
        <x:v>1.1275</x:v>
      </x:c>
      <x:c r="S79" s="56" t="n">
        <x:f>MAX(0,'Hypothèses &amp; sources'!$B$5*MAX(0,MIN(100,'Hypothèses &amp; sources'!$B$10-R79*'Hypothèses &amp; sources'!$B$9))+'Hypothèses &amp; sources'!$B$6*(G79/5*100)+'Hypothèses &amp; sources'!$B$7*(H79/5*100)+'Hypothèses &amp; sources'!$B$8*MAX(0,MIN(100,'Hypothèses &amp; sources'!$B$12-E79*'Hypothèses &amp; sources'!$B$11))-T79)</x:f>
        <x:v>77.5174</x:v>
      </x:c>
      <x:c r="T79" s="33" t="n">
        <x:v>0</x:v>
      </x:c>
    </x:row>
    <x:row r="80">
      <x:c r="A80" s="33" t="n">
        <x:v>76</x:v>
      </x:c>
      <x:c r="B80" s="38" t="str">
        <x:v>Purée de patates douces</x:v>
      </x:c>
      <x:c r="C80" s="38" t="str">
        <x:v>Accompagnement</x:v>
      </x:c>
      <x:c r="D80" s="38" t="str">
        <x:v>patates douces, beurre ou huile</x:v>
      </x:c>
      <x:c r="E80" s="33" t="n">
        <x:v>15</x:v>
      </x:c>
      <x:c r="F80" s="33" t="n">
        <x:v>30</x:v>
      </x:c>
      <x:c r="G80" s="56" t="n">
        <x:v>4</x:v>
      </x:c>
      <x:c r="H80" s="56" t="n">
        <x:v>3.7</x:v>
      </x:c>
      <x:c r="I80" s="33" t="n">
        <x:v>0</x:v>
      </x:c>
      <x:c r="J80" s="57" t="n">
        <x:v>4.5</x:v>
      </x:c>
      <x:c r="K80" s="57" t="n">
        <x:f>J80*'Hypothèses &amp; sources'!$E$4</x:f>
        <x:v>4.5</x:v>
      </x:c>
      <x:c r="L80" s="57" t="n">
        <x:f>J80*'Hypothèses &amp; sources'!$F$4</x:f>
        <x:v>4.7700000000000005</x:v>
      </x:c>
      <x:c r="M80" s="57" t="n">
        <x:f>J80*'Hypothèses &amp; sources'!$G$4</x:f>
        <x:v>4.95</x:v>
      </x:c>
      <x:c r="N80" s="57" t="n">
        <x:f>J80*'Hypothèses &amp; sources'!$H$4</x:f>
        <x:v>4.995</x:v>
      </x:c>
      <x:c r="O80" s="57" t="n">
        <x:f>J80*'Hypothèses &amp; sources'!$I$4</x:f>
        <x:v>5.58</x:v>
      </x:c>
      <x:c r="P80" s="57" t="str">
        <x:v>Lidl</x:v>
      </x:c>
      <x:c r="Q80" s="57" t="n">
        <x:f>IF(P80="Lidl",K80,IF(P80="Super U",L80,IF(P80="Carrefour",M80,IF(P80="Auchan",N80,O80))))</x:f>
        <x:v>4.5</x:v>
      </x:c>
      <x:c r="R80" s="57" t="n">
        <x:f>Q80/'Hypothèses &amp; sources'!$B$4</x:f>
        <x:v>1.125</x:v>
      </x:c>
      <x:c r="S80" s="56" t="n">
        <x:f>MAX(0,'Hypothèses &amp; sources'!$B$5*MAX(0,MIN(100,'Hypothèses &amp; sources'!$B$10-R80*'Hypothèses &amp; sources'!$B$9))+'Hypothèses &amp; sources'!$B$6*(G80/5*100)+'Hypothèses &amp; sources'!$B$7*(H80/5*100)+'Hypothèses &amp; sources'!$B$8*MAX(0,MIN(100,'Hypothèses &amp; sources'!$B$12-E80*'Hypothèses &amp; sources'!$B$11))-T80)</x:f>
        <x:v>77.49</x:v>
      </x:c>
      <x:c r="T80" s="33" t="n">
        <x:v>8</x:v>
      </x:c>
    </x:row>
    <x:row r="81">
      <x:c r="A81" s="33" t="n">
        <x:v>77</x:v>
      </x:c>
      <x:c r="B81" s="38" t="str">
        <x:v>Curry de pommes de terre et d'aubergines</x:v>
      </x:c>
      <x:c r="C81" s="38" t="str">
        <x:v>Curry / cuisine épicée</x:v>
      </x:c>
      <x:c r="D81" s="38" t="str">
        <x:v>oignon, ail, gingembre, épices, pommes de terre, aubergine</x:v>
      </x:c>
      <x:c r="E81" s="33" t="n">
        <x:v>25</x:v>
      </x:c>
      <x:c r="F81" s="33" t="n">
        <x:v>55</x:v>
      </x:c>
      <x:c r="G81" s="56" t="n">
        <x:v>3.7</x:v>
      </x:c>
      <x:c r="H81" s="56" t="n">
        <x:v>3.4</x:v>
      </x:c>
      <x:c r="I81" s="33" t="n">
        <x:v>1</x:v>
      </x:c>
      <x:c r="J81" s="57" t="n">
        <x:v>6.2</x:v>
      </x:c>
      <x:c r="K81" s="57" t="n">
        <x:f>J81*'Hypothèses &amp; sources'!$E$4</x:f>
        <x:v>6.2</x:v>
      </x:c>
      <x:c r="L81" s="57" t="n">
        <x:f>J81*'Hypothèses &amp; sources'!$F$4</x:f>
        <x:v>6.572000000000001</x:v>
      </x:c>
      <x:c r="M81" s="57" t="n">
        <x:f>J81*'Hypothèses &amp; sources'!$G$4</x:f>
        <x:v>6.820000000000001</x:v>
      </x:c>
      <x:c r="N81" s="57" t="n">
        <x:f>J81*'Hypothèses &amp; sources'!$H$4</x:f>
        <x:v>6.882000000000001</x:v>
      </x:c>
      <x:c r="O81" s="57" t="n">
        <x:f>J81*'Hypothèses &amp; sources'!$I$4</x:f>
        <x:v>7.688</x:v>
      </x:c>
      <x:c r="P81" s="57" t="str">
        <x:v>Super U</x:v>
      </x:c>
      <x:c r="Q81" s="57" t="n">
        <x:f>IF(P81="Lidl",K81,IF(P81="Super U",L81,IF(P81="Carrefour",M81,IF(P81="Auchan",N81,O81))))</x:f>
        <x:v>6.572000000000001</x:v>
      </x:c>
      <x:c r="R81" s="57" t="n">
        <x:f>Q81/'Hypothèses &amp; sources'!$B$4</x:f>
        <x:v>1.6430000000000002</x:v>
      </x:c>
      <x:c r="S81" s="56" t="n">
        <x:f>MAX(0,'Hypothèses &amp; sources'!$B$5*MAX(0,MIN(100,'Hypothèses &amp; sources'!$B$10-R81*'Hypothèses &amp; sources'!$B$9))+'Hypothèses &amp; sources'!$B$6*(G81/5*100)+'Hypothèses &amp; sources'!$B$7*(H81/5*100)+'Hypothèses &amp; sources'!$B$8*MAX(0,MIN(100,'Hypothèses &amp; sources'!$B$12-E81*'Hypothèses &amp; sources'!$B$11))-T81)</x:f>
        <x:v>77.47927999999999</x:v>
      </x:c>
      <x:c r="T81" s="33" t="n">
        <x:v>0</x:v>
      </x:c>
    </x:row>
    <x:row r="82">
      <x:c r="A82" s="33" t="n">
        <x:v>78</x:v>
      </x:c>
      <x:c r="B82" s="38" t="str">
        <x:v>Autumn apple chicken</x:v>
      </x:c>
      <x:c r="C82" s="38" t="str">
        <x:v>Plat complet</x:v>
      </x:c>
      <x:c r="D82" s="38" t="str">
        <x:v>pommes, poulet</x:v>
      </x:c>
      <x:c r="E82" s="33" t="n">
        <x:v>20</x:v>
      </x:c>
      <x:c r="F82" s="33" t="n">
        <x:v>40</x:v>
      </x:c>
      <x:c r="G82" s="56" t="n">
        <x:v>3.9</x:v>
      </x:c>
      <x:c r="H82" s="56" t="n">
        <x:v>3.5</x:v>
      </x:c>
      <x:c r="I82" s="33" t="n">
        <x:v>0</x:v>
      </x:c>
      <x:c r="J82" s="57" t="n">
        <x:v>8.8</x:v>
      </x:c>
      <x:c r="K82" s="57" t="n">
        <x:f>J82*'Hypothèses &amp; sources'!$E$4</x:f>
        <x:v>8.8</x:v>
      </x:c>
      <x:c r="L82" s="57" t="n">
        <x:f>J82*'Hypothèses &amp; sources'!$F$4</x:f>
        <x:v>9.328000000000001</x:v>
      </x:c>
      <x:c r="M82" s="57" t="n">
        <x:f>J82*'Hypothèses &amp; sources'!$G$4</x:f>
        <x:v>9.680000000000001</x:v>
      </x:c>
      <x:c r="N82" s="57" t="n">
        <x:f>J82*'Hypothèses &amp; sources'!$H$4</x:f>
        <x:v>9.768000000000002</x:v>
      </x:c>
      <x:c r="O82" s="57" t="n">
        <x:f>J82*'Hypothèses &amp; sources'!$I$4</x:f>
        <x:v>10.912</x:v>
      </x:c>
      <x:c r="P82" s="57" t="str">
        <x:v>Lidl</x:v>
      </x:c>
      <x:c r="Q82" s="57" t="n">
        <x:f>IF(P82="Lidl",K82,IF(P82="Super U",L82,IF(P82="Carrefour",M82,IF(P82="Auchan",N82,O82))))</x:f>
        <x:v>8.8</x:v>
      </x:c>
      <x:c r="R82" s="57" t="n">
        <x:f>Q82/'Hypothèses &amp; sources'!$B$4</x:f>
        <x:v>2.2</x:v>
      </x:c>
      <x:c r="S82" s="56" t="n">
        <x:f>MAX(0,'Hypothèses &amp; sources'!$B$5*MAX(0,MIN(100,'Hypothèses &amp; sources'!$B$10-R82*'Hypothèses &amp; sources'!$B$9))+'Hypothèses &amp; sources'!$B$6*(G82/5*100)+'Hypothèses &amp; sources'!$B$7*(H82/5*100)+'Hypothèses &amp; sources'!$B$8*MAX(0,MIN(100,'Hypothèses &amp; sources'!$B$12-E82*'Hypothèses &amp; sources'!$B$11))-T82)</x:f>
        <x:v>77.472</x:v>
      </x:c>
      <x:c r="T82" s="33" t="n">
        <x:v>0</x:v>
      </x:c>
    </x:row>
    <x:row r="83">
      <x:c r="A83" s="33" t="n">
        <x:v>79</x:v>
      </x:c>
      <x:c r="B83" s="38" t="str">
        <x:v>Kielbasa and rice</x:v>
      </x:c>
      <x:c r="C83" s="38" t="str">
        <x:v>Plat complet</x:v>
      </x:c>
      <x:c r="D83" s="38" t="str">
        <x:v>riz, charcuterie / saucisse</x:v>
      </x:c>
      <x:c r="E83" s="33" t="n">
        <x:v>20</x:v>
      </x:c>
      <x:c r="F83" s="33" t="n">
        <x:v>40</x:v>
      </x:c>
      <x:c r="G83" s="56" t="n">
        <x:v>4.3</x:v>
      </x:c>
      <x:c r="H83" s="56" t="n">
        <x:v>2.7</x:v>
      </x:c>
      <x:c r="I83" s="33" t="n">
        <x:v>0</x:v>
      </x:c>
      <x:c r="J83" s="57" t="n">
        <x:v>8.3</x:v>
      </x:c>
      <x:c r="K83" s="57" t="n">
        <x:f>J83*'Hypothèses &amp; sources'!$E$4</x:f>
        <x:v>8.3</x:v>
      </x:c>
      <x:c r="L83" s="57" t="n">
        <x:f>J83*'Hypothèses &amp; sources'!$F$4</x:f>
        <x:v>8.798000000000002</x:v>
      </x:c>
      <x:c r="M83" s="57" t="n">
        <x:f>J83*'Hypothèses &amp; sources'!$G$4</x:f>
        <x:v>9.13</x:v>
      </x:c>
      <x:c r="N83" s="57" t="n">
        <x:f>J83*'Hypothèses &amp; sources'!$H$4</x:f>
        <x:v>9.213000000000001</x:v>
      </x:c>
      <x:c r="O83" s="57" t="n">
        <x:f>J83*'Hypothèses &amp; sources'!$I$4</x:f>
        <x:v>10.292000000000002</x:v>
      </x:c>
      <x:c r="P83" s="57" t="str">
        <x:v>Lidl</x:v>
      </x:c>
      <x:c r="Q83" s="57" t="n">
        <x:f>IF(P83="Lidl",K83,IF(P83="Super U",L83,IF(P83="Carrefour",M83,IF(P83="Auchan",N83,O83))))</x:f>
        <x:v>8.3</x:v>
      </x:c>
      <x:c r="R83" s="57" t="n">
        <x:f>Q83/'Hypothèses &amp; sources'!$B$4</x:f>
        <x:v>2.075</x:v>
      </x:c>
      <x:c r="S83" s="56" t="n">
        <x:f>MAX(0,'Hypothèses &amp; sources'!$B$5*MAX(0,MIN(100,'Hypothèses &amp; sources'!$B$10-R83*'Hypothèses &amp; sources'!$B$9))+'Hypothèses &amp; sources'!$B$6*(G83/5*100)+'Hypothèses &amp; sources'!$B$7*(H83/5*100)+'Hypothèses &amp; sources'!$B$8*MAX(0,MIN(100,'Hypothèses &amp; sources'!$B$12-E83*'Hypothèses &amp; sources'!$B$11))-T83)</x:f>
        <x:v>77.462</x:v>
      </x:c>
      <x:c r="T83" s="33" t="n">
        <x:v>0</x:v>
      </x:c>
    </x:row>
    <x:row r="84">
      <x:c r="A84" s="33" t="n">
        <x:v>80</x:v>
      </x:c>
      <x:c r="B84" s="38" t="str">
        <x:v>Cabbage rolls</x:v>
      </x:c>
      <x:c r="C84" s="38" t="str">
        <x:v>Gratin / farci</x:v>
      </x:c>
      <x:c r="D84" s="38" t="str">
        <x:v>chou, bœuf haché, riz, tomates, oignon</x:v>
      </x:c>
      <x:c r="E84" s="33" t="n">
        <x:v>35</x:v>
      </x:c>
      <x:c r="F84" s="33" t="n">
        <x:v>80</x:v>
      </x:c>
      <x:c r="G84" s="56" t="n">
        <x:v>4.7</x:v>
      </x:c>
      <x:c r="H84" s="56" t="n">
        <x:v>4.1</x:v>
      </x:c>
      <x:c r="I84" s="33" t="n">
        <x:v>0</x:v>
      </x:c>
      <x:c r="J84" s="57" t="n">
        <x:v>11</x:v>
      </x:c>
      <x:c r="K84" s="57" t="n">
        <x:f>J84*'Hypothèses &amp; sources'!$E$4</x:f>
        <x:v>11</x:v>
      </x:c>
      <x:c r="L84" s="57" t="n">
        <x:f>J84*'Hypothèses &amp; sources'!$F$4</x:f>
        <x:v>11.66</x:v>
      </x:c>
      <x:c r="M84" s="57" t="n">
        <x:f>J84*'Hypothèses &amp; sources'!$G$4</x:f>
        <x:v>12.100000000000001</x:v>
      </x:c>
      <x:c r="N84" s="57" t="n">
        <x:f>J84*'Hypothèses &amp; sources'!$H$4</x:f>
        <x:v>12.21</x:v>
      </x:c>
      <x:c r="O84" s="57" t="n">
        <x:f>J84*'Hypothèses &amp; sources'!$I$4</x:f>
        <x:v>13.64</x:v>
      </x:c>
      <x:c r="P84" s="57" t="str">
        <x:v>Lidl</x:v>
      </x:c>
      <x:c r="Q84" s="57" t="n">
        <x:f>IF(P84="Lidl",K84,IF(P84="Super U",L84,IF(P84="Carrefour",M84,IF(P84="Auchan",N84,O84))))</x:f>
        <x:v>11</x:v>
      </x:c>
      <x:c r="R84" s="57" t="n">
        <x:f>Q84/'Hypothèses &amp; sources'!$B$4</x:f>
        <x:v>2.75</x:v>
      </x:c>
      <x:c r="S84" s="56" t="n">
        <x:f>MAX(0,'Hypothèses &amp; sources'!$B$5*MAX(0,MIN(100,'Hypothèses &amp; sources'!$B$10-R84*'Hypothèses &amp; sources'!$B$9))+'Hypothèses &amp; sources'!$B$6*(G84/5*100)+'Hypothèses &amp; sources'!$B$7*(H84/5*100)+'Hypothèses &amp; sources'!$B$8*MAX(0,MIN(100,'Hypothèses &amp; sources'!$B$12-E84*'Hypothèses &amp; sources'!$B$11))-T84)</x:f>
        <x:v>77.38</x:v>
      </x:c>
      <x:c r="T84" s="33" t="n">
        <x:v>0</x:v>
      </x:c>
    </x:row>
    <x:row r="85">
      <x:c r="A85" s="33" t="n">
        <x:v>81</x:v>
      </x:c>
      <x:c r="B85" s="38" t="str">
        <x:v>Cheesy ground beef and rice</x:v>
      </x:c>
      <x:c r="C85" s="38" t="str">
        <x:v>Riz / bœuf</x:v>
      </x:c>
      <x:c r="D85" s="38" t="str">
        <x:v>bœuf haché, riz, tomates, fromage, oignon</x:v>
      </x:c>
      <x:c r="E85" s="33" t="n">
        <x:v>20</x:v>
      </x:c>
      <x:c r="F85" s="33" t="n">
        <x:v>40</x:v>
      </x:c>
      <x:c r="G85" s="56" t="n">
        <x:v>4.8</x:v>
      </x:c>
      <x:c r="H85" s="56" t="n">
        <x:v>3.5</x:v>
      </x:c>
      <x:c r="I85" s="33" t="n">
        <x:v>0</x:v>
      </x:c>
      <x:c r="J85" s="57" t="n">
        <x:v>13</x:v>
      </x:c>
      <x:c r="K85" s="57" t="n">
        <x:f>J85*'Hypothèses &amp; sources'!$E$4</x:f>
        <x:v>13</x:v>
      </x:c>
      <x:c r="L85" s="57" t="n">
        <x:f>J85*'Hypothèses &amp; sources'!$F$4</x:f>
        <x:v>13.780000000000001</x:v>
      </x:c>
      <x:c r="M85" s="57" t="n">
        <x:f>J85*'Hypothèses &amp; sources'!$G$4</x:f>
        <x:v>14.3</x:v>
      </x:c>
      <x:c r="N85" s="57" t="n">
        <x:f>J85*'Hypothèses &amp; sources'!$H$4</x:f>
        <x:v>14.430000000000001</x:v>
      </x:c>
      <x:c r="O85" s="57" t="n">
        <x:f>J85*'Hypothèses &amp; sources'!$I$4</x:f>
        <x:v>16.12</x:v>
      </x:c>
      <x:c r="P85" s="57" t="str">
        <x:v>Lidl</x:v>
      </x:c>
      <x:c r="Q85" s="57" t="n">
        <x:f>IF(P85="Lidl",K85,IF(P85="Super U",L85,IF(P85="Carrefour",M85,IF(P85="Auchan",N85,O85))))</x:f>
        <x:v>13</x:v>
      </x:c>
      <x:c r="R85" s="57" t="n">
        <x:f>Q85/'Hypothèses &amp; sources'!$B$4</x:f>
        <x:v>3.25</x:v>
      </x:c>
      <x:c r="S85" s="56" t="n">
        <x:f>MAX(0,'Hypothèses &amp; sources'!$B$5*MAX(0,MIN(100,'Hypothèses &amp; sources'!$B$10-R85*'Hypothèses &amp; sources'!$B$9))+'Hypothèses &amp; sources'!$B$6*(G85/5*100)+'Hypothèses &amp; sources'!$B$7*(H85/5*100)+'Hypothèses &amp; sources'!$B$8*MAX(0,MIN(100,'Hypothèses &amp; sources'!$B$12-E85*'Hypothèses &amp; sources'!$B$11))-T85)</x:f>
        <x:v>77.22</x:v>
      </x:c>
      <x:c r="T85" s="33" t="n">
        <x:v>0</x:v>
      </x:c>
    </x:row>
    <x:row r="86">
      <x:c r="A86" s="33" t="n">
        <x:v>82</x:v>
      </x:c>
      <x:c r="B86" s="38" t="str">
        <x:v>Adobo chicken with potatoes</x:v>
      </x:c>
      <x:c r="C86" s="38" t="str">
        <x:v>Mijoté / curry</x:v>
      </x:c>
      <x:c r="D86" s="38" t="str">
        <x:v>oignon, bouillon, épices, poulet, légumes</x:v>
      </x:c>
      <x:c r="E86" s="33" t="n">
        <x:v>25</x:v>
      </x:c>
      <x:c r="F86" s="33" t="n">
        <x:v>75</x:v>
      </x:c>
      <x:c r="G86" s="56" t="n">
        <x:v>4.3</x:v>
      </x:c>
      <x:c r="H86" s="56" t="n">
        <x:v>3.7</x:v>
      </x:c>
      <x:c r="I86" s="33" t="n">
        <x:v>0</x:v>
      </x:c>
      <x:c r="J86" s="57" t="n">
        <x:v>10.4</x:v>
      </x:c>
      <x:c r="K86" s="57" t="n">
        <x:f>J86*'Hypothèses &amp; sources'!$E$4</x:f>
        <x:v>10.4</x:v>
      </x:c>
      <x:c r="L86" s="57" t="n">
        <x:f>J86*'Hypothèses &amp; sources'!$F$4</x:f>
        <x:v>11.024000000000001</x:v>
      </x:c>
      <x:c r="M86" s="57" t="n">
        <x:f>J86*'Hypothèses &amp; sources'!$G$4</x:f>
        <x:v>11.440000000000001</x:v>
      </x:c>
      <x:c r="N86" s="57" t="n">
        <x:f>J86*'Hypothèses &amp; sources'!$H$4</x:f>
        <x:v>11.544000000000002</x:v>
      </x:c>
      <x:c r="O86" s="57" t="n">
        <x:f>J86*'Hypothèses &amp; sources'!$I$4</x:f>
        <x:v>12.896</x:v>
      </x:c>
      <x:c r="P86" s="57" t="str">
        <x:v>Lidl</x:v>
      </x:c>
      <x:c r="Q86" s="57" t="n">
        <x:f>IF(P86="Lidl",K86,IF(P86="Super U",L86,IF(P86="Carrefour",M86,IF(P86="Auchan",N86,O86))))</x:f>
        <x:v>10.4</x:v>
      </x:c>
      <x:c r="R86" s="57" t="n">
        <x:f>Q86/'Hypothèses &amp; sources'!$B$4</x:f>
        <x:v>2.6</x:v>
      </x:c>
      <x:c r="S86" s="56" t="n">
        <x:f>MAX(0,'Hypothèses &amp; sources'!$B$5*MAX(0,MIN(100,'Hypothèses &amp; sources'!$B$10-R86*'Hypothèses &amp; sources'!$B$9))+'Hypothèses &amp; sources'!$B$6*(G86/5*100)+'Hypothèses &amp; sources'!$B$7*(H86/5*100)+'Hypothèses &amp; sources'!$B$8*MAX(0,MIN(100,'Hypothèses &amp; sources'!$B$12-E86*'Hypothèses &amp; sources'!$B$11))-T86)</x:f>
        <x:v>77.096</x:v>
      </x:c>
      <x:c r="T86" s="33" t="n">
        <x:v>0</x:v>
      </x:c>
    </x:row>
    <x:row r="87">
      <x:c r="A87" s="33" t="n">
        <x:v>83</x:v>
      </x:c>
      <x:c r="B87" s="38" t="str">
        <x:v>Jamaican chicken fricasse</x:v>
      </x:c>
      <x:c r="C87" s="38" t="str">
        <x:v>Mijoté / curry</x:v>
      </x:c>
      <x:c r="D87" s="38" t="str">
        <x:v>oignon, bouillon, épices, poulet, légumes</x:v>
      </x:c>
      <x:c r="E87" s="33" t="n">
        <x:v>25</x:v>
      </x:c>
      <x:c r="F87" s="33" t="n">
        <x:v>75</x:v>
      </x:c>
      <x:c r="G87" s="56" t="n">
        <x:v>4.3</x:v>
      </x:c>
      <x:c r="H87" s="56" t="n">
        <x:v>3.7</x:v>
      </x:c>
      <x:c r="I87" s="33" t="n">
        <x:v>0</x:v>
      </x:c>
      <x:c r="J87" s="57" t="n">
        <x:v>10.4</x:v>
      </x:c>
      <x:c r="K87" s="57" t="n">
        <x:f>J87*'Hypothèses &amp; sources'!$E$4</x:f>
        <x:v>10.4</x:v>
      </x:c>
      <x:c r="L87" s="57" t="n">
        <x:f>J87*'Hypothèses &amp; sources'!$F$4</x:f>
        <x:v>11.024000000000001</x:v>
      </x:c>
      <x:c r="M87" s="57" t="n">
        <x:f>J87*'Hypothèses &amp; sources'!$G$4</x:f>
        <x:v>11.440000000000001</x:v>
      </x:c>
      <x:c r="N87" s="57" t="n">
        <x:f>J87*'Hypothèses &amp; sources'!$H$4</x:f>
        <x:v>11.544000000000002</x:v>
      </x:c>
      <x:c r="O87" s="57" t="n">
        <x:f>J87*'Hypothèses &amp; sources'!$I$4</x:f>
        <x:v>12.896</x:v>
      </x:c>
      <x:c r="P87" s="57" t="str">
        <x:v>Lidl</x:v>
      </x:c>
      <x:c r="Q87" s="57" t="n">
        <x:f>IF(P87="Lidl",K87,IF(P87="Super U",L87,IF(P87="Carrefour",M87,IF(P87="Auchan",N87,O87))))</x:f>
        <x:v>10.4</x:v>
      </x:c>
      <x:c r="R87" s="57" t="n">
        <x:f>Q87/'Hypothèses &amp; sources'!$B$4</x:f>
        <x:v>2.6</x:v>
      </x:c>
      <x:c r="S87" s="56" t="n">
        <x:f>MAX(0,'Hypothèses &amp; sources'!$B$5*MAX(0,MIN(100,'Hypothèses &amp; sources'!$B$10-R87*'Hypothèses &amp; sources'!$B$9))+'Hypothèses &amp; sources'!$B$6*(G87/5*100)+'Hypothèses &amp; sources'!$B$7*(H87/5*100)+'Hypothèses &amp; sources'!$B$8*MAX(0,MIN(100,'Hypothèses &amp; sources'!$B$12-E87*'Hypothèses &amp; sources'!$B$11))-T87)</x:f>
        <x:v>77.096</x:v>
      </x:c>
      <x:c r="T87" s="33" t="n">
        <x:v>0</x:v>
      </x:c>
    </x:row>
    <x:row r="88">
      <x:c r="A88" s="33" t="n">
        <x:v>84</x:v>
      </x:c>
      <x:c r="B88" s="38" t="str">
        <x:v>Salsa chicken</x:v>
      </x:c>
      <x:c r="C88" s="38" t="str">
        <x:v>Plat complet</x:v>
      </x:c>
      <x:c r="D88" s="38" t="str">
        <x:v>poulet, tomate, citron vert, coriandre</x:v>
      </x:c>
      <x:c r="E88" s="33" t="n">
        <x:v>20</x:v>
      </x:c>
      <x:c r="F88" s="33" t="n">
        <x:v>40</x:v>
      </x:c>
      <x:c r="G88" s="56" t="n">
        <x:v>3.9</x:v>
      </x:c>
      <x:c r="H88" s="56" t="n">
        <x:v>3.5</x:v>
      </x:c>
      <x:c r="I88" s="33" t="n">
        <x:v>0</x:v>
      </x:c>
      <x:c r="J88" s="57" t="n">
        <x:v>9.1</x:v>
      </x:c>
      <x:c r="K88" s="57" t="n">
        <x:f>J88*'Hypothèses &amp; sources'!$E$4</x:f>
        <x:v>9.1</x:v>
      </x:c>
      <x:c r="L88" s="57" t="n">
        <x:f>J88*'Hypothèses &amp; sources'!$F$4</x:f>
        <x:v>9.646</x:v>
      </x:c>
      <x:c r="M88" s="57" t="n">
        <x:f>J88*'Hypothèses &amp; sources'!$G$4</x:f>
        <x:v>10.01</x:v>
      </x:c>
      <x:c r="N88" s="57" t="n">
        <x:f>J88*'Hypothèses &amp; sources'!$H$4</x:f>
        <x:v>10.101</x:v>
      </x:c>
      <x:c r="O88" s="57" t="n">
        <x:f>J88*'Hypothèses &amp; sources'!$I$4</x:f>
        <x:v>11.283999999999999</x:v>
      </x:c>
      <x:c r="P88" s="57" t="str">
        <x:v>Lidl</x:v>
      </x:c>
      <x:c r="Q88" s="57" t="n">
        <x:f>IF(P88="Lidl",K88,IF(P88="Super U",L88,IF(P88="Carrefour",M88,IF(P88="Auchan",N88,O88))))</x:f>
        <x:v>9.1</x:v>
      </x:c>
      <x:c r="R88" s="57" t="n">
        <x:f>Q88/'Hypothèses &amp; sources'!$B$4</x:f>
        <x:v>2.275</x:v>
      </x:c>
      <x:c r="S88" s="56" t="n">
        <x:f>MAX(0,'Hypothèses &amp; sources'!$B$5*MAX(0,MIN(100,'Hypothèses &amp; sources'!$B$10-R88*'Hypothèses &amp; sources'!$B$9))+'Hypothèses &amp; sources'!$B$6*(G88/5*100)+'Hypothèses &amp; sources'!$B$7*(H88/5*100)+'Hypothèses &amp; sources'!$B$8*MAX(0,MIN(100,'Hypothèses &amp; sources'!$B$12-E88*'Hypothèses &amp; sources'!$B$11))-T88)</x:f>
        <x:v>77.09400000000001</x:v>
      </x:c>
      <x:c r="T88" s="33" t="n">
        <x:v>0</x:v>
      </x:c>
    </x:row>
    <x:row r="89">
      <x:c r="A89" s="33" t="n">
        <x:v>85</x:v>
      </x:c>
      <x:c r="B89" s="38" t="str">
        <x:v>Baignan bharta/smoky mashed eggplant</x:v>
      </x:c>
      <x:c r="C89" s="38" t="str">
        <x:v>Curry / cuisine épicée</x:v>
      </x:c>
      <x:c r="D89" s="38" t="str">
        <x:v>oignon, ail, gingembre, épices, aubergine</x:v>
      </x:c>
      <x:c r="E89" s="33" t="n">
        <x:v>25</x:v>
      </x:c>
      <x:c r="F89" s="33" t="n">
        <x:v>55</x:v>
      </x:c>
      <x:c r="G89" s="56" t="n">
        <x:v>3.2</x:v>
      </x:c>
      <x:c r="H89" s="56" t="n">
        <x:v>3.4</x:v>
      </x:c>
      <x:c r="I89" s="33" t="n">
        <x:v>1</x:v>
      </x:c>
      <x:c r="J89" s="57" t="n">
        <x:v>4.4</x:v>
      </x:c>
      <x:c r="K89" s="57" t="n">
        <x:f>J89*'Hypothèses &amp; sources'!$E$4</x:f>
        <x:v>4.4</x:v>
      </x:c>
      <x:c r="L89" s="57" t="n">
        <x:f>J89*'Hypothèses &amp; sources'!$F$4</x:f>
        <x:v>4.664000000000001</x:v>
      </x:c>
      <x:c r="M89" s="57" t="n">
        <x:f>J89*'Hypothèses &amp; sources'!$G$4</x:f>
        <x:v>4.840000000000001</x:v>
      </x:c>
      <x:c r="N89" s="57" t="n">
        <x:f>J89*'Hypothèses &amp; sources'!$H$4</x:f>
        <x:v>4.884000000000001</x:v>
      </x:c>
      <x:c r="O89" s="57" t="n">
        <x:f>J89*'Hypothèses &amp; sources'!$I$4</x:f>
        <x:v>5.456</x:v>
      </x:c>
      <x:c r="P89" s="57" t="str">
        <x:v>Super U</x:v>
      </x:c>
      <x:c r="Q89" s="57" t="n">
        <x:f>IF(P89="Lidl",K89,IF(P89="Super U",L89,IF(P89="Carrefour",M89,IF(P89="Auchan",N89,O89))))</x:f>
        <x:v>4.664000000000001</x:v>
      </x:c>
      <x:c r="R89" s="57" t="n">
        <x:f>Q89/'Hypothèses &amp; sources'!$B$4</x:f>
        <x:v>1.1660000000000001</x:v>
      </x:c>
      <x:c r="S89" s="56" t="n">
        <x:f>MAX(0,'Hypothèses &amp; sources'!$B$5*MAX(0,MIN(100,'Hypothèses &amp; sources'!$B$10-R89*'Hypothèses &amp; sources'!$B$9))+'Hypothèses &amp; sources'!$B$6*(G89/5*100)+'Hypothèses &amp; sources'!$B$7*(H89/5*100)+'Hypothèses &amp; sources'!$B$8*MAX(0,MIN(100,'Hypothèses &amp; sources'!$B$12-E89*'Hypothèses &amp; sources'!$B$11))-T89)</x:f>
        <x:v>77.08335999999998</x:v>
      </x:c>
      <x:c r="T89" s="33" t="n">
        <x:v>0</x:v>
      </x:c>
    </x:row>
    <x:row r="90">
      <x:c r="A90" s="33" t="n">
        <x:v>86</x:v>
      </x:c>
      <x:c r="B90" s="38" t="str">
        <x:v>Soupe tortilla au poulet</x:v>
      </x:c>
      <x:c r="C90" s="38" t="str">
        <x:v>Soupe / bouillon</x:v>
      </x:c>
      <x:c r="D90" s="38" t="str">
        <x:v>bouillon, oignon, poulet, tortillas, légumes</x:v>
      </x:c>
      <x:c r="E90" s="33" t="n">
        <x:v>15</x:v>
      </x:c>
      <x:c r="F90" s="33" t="n">
        <x:v>35</x:v>
      </x:c>
      <x:c r="G90" s="56" t="n">
        <x:v>3.9</x:v>
      </x:c>
      <x:c r="H90" s="56" t="n">
        <x:v>3.9</x:v>
      </x:c>
      <x:c r="I90" s="33" t="n">
        <x:v>0</x:v>
      </x:c>
      <x:c r="J90" s="57" t="n">
        <x:v>11.4</x:v>
      </x:c>
      <x:c r="K90" s="57" t="n">
        <x:f>J90*'Hypothèses &amp; sources'!$E$4</x:f>
        <x:v>11.4</x:v>
      </x:c>
      <x:c r="L90" s="57" t="n">
        <x:f>J90*'Hypothèses &amp; sources'!$F$4</x:f>
        <x:v>12.084000000000001</x:v>
      </x:c>
      <x:c r="M90" s="57" t="n">
        <x:f>J90*'Hypothèses &amp; sources'!$G$4</x:f>
        <x:v>12.540000000000001</x:v>
      </x:c>
      <x:c r="N90" s="57" t="n">
        <x:f>J90*'Hypothèses &amp; sources'!$H$4</x:f>
        <x:v>12.654000000000002</x:v>
      </x:c>
      <x:c r="O90" s="57" t="n">
        <x:f>J90*'Hypothèses &amp; sources'!$I$4</x:f>
        <x:v>14.136000000000001</x:v>
      </x:c>
      <x:c r="P90" s="57" t="str">
        <x:v>Lidl</x:v>
      </x:c>
      <x:c r="Q90" s="57" t="n">
        <x:f>IF(P90="Lidl",K90,IF(P90="Super U",L90,IF(P90="Carrefour",M90,IF(P90="Auchan",N90,O90))))</x:f>
        <x:v>11.4</x:v>
      </x:c>
      <x:c r="R90" s="57" t="n">
        <x:f>Q90/'Hypothèses &amp; sources'!$B$4</x:f>
        <x:v>2.85</x:v>
      </x:c>
      <x:c r="S90" s="56" t="n">
        <x:f>MAX(0,'Hypothèses &amp; sources'!$B$5*MAX(0,MIN(100,'Hypothèses &amp; sources'!$B$10-R90*'Hypothèses &amp; sources'!$B$9))+'Hypothèses &amp; sources'!$B$6*(G90/5*100)+'Hypothèses &amp; sources'!$B$7*(H90/5*100)+'Hypothèses &amp; sources'!$B$8*MAX(0,MIN(100,'Hypothèses &amp; sources'!$B$12-E90*'Hypothèses &amp; sources'!$B$11))-T90)</x:f>
        <x:v>76.956</x:v>
      </x:c>
      <x:c r="T90" s="33" t="n">
        <x:v>0</x:v>
      </x:c>
    </x:row>
    <x:row r="91">
      <x:c r="A91" s="33" t="n">
        <x:v>87</x:v>
      </x:c>
      <x:c r="B91" s="38" t="str">
        <x:v>Carnitas</x:v>
      </x:c>
      <x:c r="C91" s="38" t="str">
        <x:v>Plat complet</x:v>
      </x:c>
      <x:c r="D91" s="38" t="str">
        <x:v>porc</x:v>
      </x:c>
      <x:c r="E91" s="33" t="n">
        <x:v>20</x:v>
      </x:c>
      <x:c r="F91" s="33" t="n">
        <x:v>40</x:v>
      </x:c>
      <x:c r="G91" s="56" t="n">
        <x:v>3.9</x:v>
      </x:c>
      <x:c r="H91" s="56" t="n">
        <x:v>3.1</x:v>
      </x:c>
      <x:c r="I91" s="33" t="n">
        <x:v>0</x:v>
      </x:c>
      <x:c r="J91" s="57" t="n">
        <x:v>8.1</x:v>
      </x:c>
      <x:c r="K91" s="57" t="n">
        <x:f>J91*'Hypothèses &amp; sources'!$E$4</x:f>
        <x:v>8.1</x:v>
      </x:c>
      <x:c r="L91" s="57" t="n">
        <x:f>J91*'Hypothèses &amp; sources'!$F$4</x:f>
        <x:v>8.586</x:v>
      </x:c>
      <x:c r="M91" s="57" t="n">
        <x:f>J91*'Hypothèses &amp; sources'!$G$4</x:f>
        <x:v>8.91</x:v>
      </x:c>
      <x:c r="N91" s="57" t="n">
        <x:f>J91*'Hypothèses &amp; sources'!$H$4</x:f>
        <x:v>8.991</x:v>
      </x:c>
      <x:c r="O91" s="57" t="n">
        <x:f>J91*'Hypothèses &amp; sources'!$I$4</x:f>
        <x:v>10.043999999999999</x:v>
      </x:c>
      <x:c r="P91" s="57" t="str">
        <x:v>Lidl</x:v>
      </x:c>
      <x:c r="Q91" s="57" t="n">
        <x:f>IF(P91="Lidl",K91,IF(P91="Super U",L91,IF(P91="Carrefour",M91,IF(P91="Auchan",N91,O91))))</x:f>
        <x:v>8.1</x:v>
      </x:c>
      <x:c r="R91" s="57" t="n">
        <x:f>Q91/'Hypothèses &amp; sources'!$B$4</x:f>
        <x:v>2.025</x:v>
      </x:c>
      <x:c r="S91" s="56" t="n">
        <x:f>MAX(0,'Hypothèses &amp; sources'!$B$5*MAX(0,MIN(100,'Hypothèses &amp; sources'!$B$10-R91*'Hypothèses &amp; sources'!$B$9))+'Hypothèses &amp; sources'!$B$6*(G91/5*100)+'Hypothèses &amp; sources'!$B$7*(H91/5*100)+'Hypothèses &amp; sources'!$B$8*MAX(0,MIN(100,'Hypothèses &amp; sources'!$B$12-E91*'Hypothèses &amp; sources'!$B$11))-T91)</x:f>
        <x:v>76.914</x:v>
      </x:c>
      <x:c r="T91" s="33" t="n">
        <x:v>0</x:v>
      </x:c>
    </x:row>
    <x:row r="92">
      <x:c r="A92" s="33" t="n">
        <x:v>88</x:v>
      </x:c>
      <x:c r="B92" s="38" t="str">
        <x:v>One-pot bibimbap</x:v>
      </x:c>
      <x:c r="C92" s="38" t="str">
        <x:v>Riz / bœuf</x:v>
      </x:c>
      <x:c r="D92" s="38" t="str">
        <x:v>riz, bœuf haché, légumes, œuf, gochujang, sauce soja, sésame</x:v>
      </x:c>
      <x:c r="E92" s="33" t="n">
        <x:v>25</x:v>
      </x:c>
      <x:c r="F92" s="33" t="n">
        <x:v>40</x:v>
      </x:c>
      <x:c r="G92" s="56" t="n">
        <x:v>4.8</x:v>
      </x:c>
      <x:c r="H92" s="56" t="n">
        <x:v>4.4</x:v>
      </x:c>
      <x:c r="I92" s="33" t="n">
        <x:v>2</x:v>
      </x:c>
      <x:c r="J92" s="57" t="n">
        <x:v>13.5</x:v>
      </x:c>
      <x:c r="K92" s="57" t="n">
        <x:f>J92*'Hypothèses &amp; sources'!$E$4</x:f>
        <x:v>13.5</x:v>
      </x:c>
      <x:c r="L92" s="57" t="n">
        <x:f>J92*'Hypothèses &amp; sources'!$F$4</x:f>
        <x:v>14.31</x:v>
      </x:c>
      <x:c r="M92" s="57" t="n">
        <x:f>J92*'Hypothèses &amp; sources'!$G$4</x:f>
        <x:v>14.850000000000001</x:v>
      </x:c>
      <x:c r="N92" s="57" t="n">
        <x:f>J92*'Hypothèses &amp; sources'!$H$4</x:f>
        <x:v>14.985000000000001</x:v>
      </x:c>
      <x:c r="O92" s="57" t="n">
        <x:f>J92*'Hypothèses &amp; sources'!$I$4</x:f>
        <x:v>16.74</x:v>
      </x:c>
      <x:c r="P92" s="57" t="str">
        <x:v>Carrefour</x:v>
      </x:c>
      <x:c r="Q92" s="57" t="n">
        <x:f>IF(P92="Lidl",K92,IF(P92="Super U",L92,IF(P92="Carrefour",M92,IF(P92="Auchan",N92,O92))))</x:f>
        <x:v>14.850000000000001</x:v>
      </x:c>
      <x:c r="R92" s="57" t="n">
        <x:f>Q92/'Hypothèses &amp; sources'!$B$4</x:f>
        <x:v>3.7125000000000004</x:v>
      </x:c>
      <x:c r="S92" s="56" t="n">
        <x:f>MAX(0,'Hypothèses &amp; sources'!$B$5*MAX(0,MIN(100,'Hypothèses &amp; sources'!$B$10-R92*'Hypothèses &amp; sources'!$B$9))+'Hypothèses &amp; sources'!$B$6*(G92/5*100)+'Hypothèses &amp; sources'!$B$7*(H92/5*100)+'Hypothèses &amp; sources'!$B$8*MAX(0,MIN(100,'Hypothèses &amp; sources'!$B$12-E92*'Hypothèses &amp; sources'!$B$11))-T92)</x:f>
        <x:v>76.809</x:v>
      </x:c>
      <x:c r="T92" s="33" t="n">
        <x:v>0</x:v>
      </x:c>
    </x:row>
    <x:row r="93">
      <x:c r="A93" s="33" t="n">
        <x:v>89</x:v>
      </x:c>
      <x:c r="B93" s="38" t="str">
        <x:v>Chestnut mushroom &amp; ricotta soup</x:v>
      </x:c>
      <x:c r="C93" s="38" t="str">
        <x:v>Soupe / bouillon</x:v>
      </x:c>
      <x:c r="D93" s="38" t="str">
        <x:v>bouillon, oignon, champignons, crème / fromage</x:v>
      </x:c>
      <x:c r="E93" s="33" t="n">
        <x:v>15</x:v>
      </x:c>
      <x:c r="F93" s="33" t="n">
        <x:v>35</x:v>
      </x:c>
      <x:c r="G93" s="56" t="n">
        <x:v>3.5</x:v>
      </x:c>
      <x:c r="H93" s="56" t="n">
        <x:v>3.2</x:v>
      </x:c>
      <x:c r="I93" s="33" t="n">
        <x:v>0</x:v>
      </x:c>
      <x:c r="J93" s="57" t="n">
        <x:v>7.9</x:v>
      </x:c>
      <x:c r="K93" s="57" t="n">
        <x:f>J93*'Hypothèses &amp; sources'!$E$4</x:f>
        <x:v>7.9</x:v>
      </x:c>
      <x:c r="L93" s="57" t="n">
        <x:f>J93*'Hypothèses &amp; sources'!$F$4</x:f>
        <x:v>8.374</x:v>
      </x:c>
      <x:c r="M93" s="57" t="n">
        <x:f>J93*'Hypothèses &amp; sources'!$G$4</x:f>
        <x:v>8.690000000000001</x:v>
      </x:c>
      <x:c r="N93" s="57" t="n">
        <x:f>J93*'Hypothèses &amp; sources'!$H$4</x:f>
        <x:v>8.769000000000002</x:v>
      </x:c>
      <x:c r="O93" s="57" t="n">
        <x:f>J93*'Hypothèses &amp; sources'!$I$4</x:f>
        <x:v>9.796000000000001</x:v>
      </x:c>
      <x:c r="P93" s="57" t="str">
        <x:v>Lidl</x:v>
      </x:c>
      <x:c r="Q93" s="57" t="n">
        <x:f>IF(P93="Lidl",K93,IF(P93="Super U",L93,IF(P93="Carrefour",M93,IF(P93="Auchan",N93,O93))))</x:f>
        <x:v>7.9</x:v>
      </x:c>
      <x:c r="R93" s="57" t="n">
        <x:f>Q93/'Hypothèses &amp; sources'!$B$4</x:f>
        <x:v>1.975</x:v>
      </x:c>
      <x:c r="S93" s="56" t="n">
        <x:f>MAX(0,'Hypothèses &amp; sources'!$B$5*MAX(0,MIN(100,'Hypothèses &amp; sources'!$B$10-R93*'Hypothèses &amp; sources'!$B$9))+'Hypothèses &amp; sources'!$B$6*(G93/5*100)+'Hypothèses &amp; sources'!$B$7*(H93/5*100)+'Hypothèses &amp; sources'!$B$8*MAX(0,MIN(100,'Hypothèses &amp; sources'!$B$12-E93*'Hypothèses &amp; sources'!$B$11))-T93)</x:f>
        <x:v>76.606</x:v>
      </x:c>
      <x:c r="T93" s="33" t="n">
        <x:v>0</x:v>
      </x:c>
    </x:row>
    <x:row r="94">
      <x:c r="A94" s="33" t="n">
        <x:v>90</x:v>
      </x:c>
      <x:c r="B94" s="38" t="str">
        <x:v>Purée de pomme de terre</x:v>
      </x:c>
      <x:c r="C94" s="38" t="str">
        <x:v>Accompagnement</x:v>
      </x:c>
      <x:c r="D94" s="38" t="str">
        <x:v>pommes de terre, lait, beurre</x:v>
      </x:c>
      <x:c r="E94" s="33" t="n">
        <x:v>15</x:v>
      </x:c>
      <x:c r="F94" s="33" t="n">
        <x:v>30</x:v>
      </x:c>
      <x:c r="G94" s="56" t="n">
        <x:v>4</x:v>
      </x:c>
      <x:c r="H94" s="56" t="n">
        <x:v>3.2</x:v>
      </x:c>
      <x:c r="I94" s="33" t="n">
        <x:v>0</x:v>
      </x:c>
      <x:c r="J94" s="57" t="n">
        <x:v>3.8</x:v>
      </x:c>
      <x:c r="K94" s="57" t="n">
        <x:f>J94*'Hypothèses &amp; sources'!$E$4</x:f>
        <x:v>3.8</x:v>
      </x:c>
      <x:c r="L94" s="57" t="n">
        <x:f>J94*'Hypothèses &amp; sources'!$F$4</x:f>
        <x:v>4.028</x:v>
      </x:c>
      <x:c r="M94" s="57" t="n">
        <x:f>J94*'Hypothèses &amp; sources'!$G$4</x:f>
        <x:v>4.18</x:v>
      </x:c>
      <x:c r="N94" s="57" t="n">
        <x:f>J94*'Hypothèses &amp; sources'!$H$4</x:f>
        <x:v>4.218</x:v>
      </x:c>
      <x:c r="O94" s="57" t="n">
        <x:f>J94*'Hypothèses &amp; sources'!$I$4</x:f>
        <x:v>4.712</x:v>
      </x:c>
      <x:c r="P94" s="57" t="str">
        <x:v>Lidl</x:v>
      </x:c>
      <x:c r="Q94" s="57" t="n">
        <x:f>IF(P94="Lidl",K94,IF(P94="Super U",L94,IF(P94="Carrefour",M94,IF(P94="Auchan",N94,O94))))</x:f>
        <x:v>3.8</x:v>
      </x:c>
      <x:c r="R94" s="57" t="n">
        <x:f>Q94/'Hypothèses &amp; sources'!$B$4</x:f>
        <x:v>0.95</x:v>
      </x:c>
      <x:c r="S94" s="56" t="n">
        <x:f>MAX(0,'Hypothèses &amp; sources'!$B$5*MAX(0,MIN(100,'Hypothèses &amp; sources'!$B$10-R94*'Hypothèses &amp; sources'!$B$9))+'Hypothèses &amp; sources'!$B$6*(G94/5*100)+'Hypothèses &amp; sources'!$B$7*(H94/5*100)+'Hypothèses &amp; sources'!$B$8*MAX(0,MIN(100,'Hypothèses &amp; sources'!$B$12-E94*'Hypothèses &amp; sources'!$B$11))-T94)</x:f>
        <x:v>76.57199999999999</x:v>
      </x:c>
      <x:c r="T94" s="33" t="n">
        <x:v>8</x:v>
      </x:c>
    </x:row>
    <x:row r="95">
      <x:c r="A95" s="33" t="n">
        <x:v>91</x:v>
      </x:c>
      <x:c r="B95" s="38" t="str">
        <x:v>Chicken pesto fettucine</x:v>
      </x:c>
      <x:c r="C95" s="38" t="str">
        <x:v>Pâtes / poulet</x:v>
      </x:c>
      <x:c r="D95" s="38" t="str">
        <x:v>fettuccine, poulet, pesto, crème, parmesan</x:v>
      </x:c>
      <x:c r="E95" s="33" t="n">
        <x:v>20</x:v>
      </x:c>
      <x:c r="F95" s="33" t="n">
        <x:v>35</x:v>
      </x:c>
      <x:c r="G95" s="56" t="n">
        <x:v>4.5</x:v>
      </x:c>
      <x:c r="H95" s="56" t="n">
        <x:v>3.5</x:v>
      </x:c>
      <x:c r="I95" s="33" t="n">
        <x:v>0</x:v>
      </x:c>
      <x:c r="J95" s="57" t="n">
        <x:v>12.2</x:v>
      </x:c>
      <x:c r="K95" s="57" t="n">
        <x:f>J95*'Hypothèses &amp; sources'!$E$4</x:f>
        <x:v>12.2</x:v>
      </x:c>
      <x:c r="L95" s="57" t="n">
        <x:f>J95*'Hypothèses &amp; sources'!$F$4</x:f>
        <x:v>12.932</x:v>
      </x:c>
      <x:c r="M95" s="57" t="n">
        <x:f>J95*'Hypothèses &amp; sources'!$G$4</x:f>
        <x:v>13.42</x:v>
      </x:c>
      <x:c r="N95" s="57" t="n">
        <x:f>J95*'Hypothèses &amp; sources'!$H$4</x:f>
        <x:v>13.542</x:v>
      </x:c>
      <x:c r="O95" s="57" t="n">
        <x:f>J95*'Hypothèses &amp; sources'!$I$4</x:f>
        <x:v>15.127999999999998</x:v>
      </x:c>
      <x:c r="P95" s="57" t="str">
        <x:v>Lidl</x:v>
      </x:c>
      <x:c r="Q95" s="57" t="n">
        <x:f>IF(P95="Lidl",K95,IF(P95="Super U",L95,IF(P95="Carrefour",M95,IF(P95="Auchan",N95,O95))))</x:f>
        <x:v>12.2</x:v>
      </x:c>
      <x:c r="R95" s="57" t="n">
        <x:f>Q95/'Hypothèses &amp; sources'!$B$4</x:f>
        <x:v>3.05</x:v>
      </x:c>
      <x:c r="S95" s="56" t="n">
        <x:f>MAX(0,'Hypothèses &amp; sources'!$B$5*MAX(0,MIN(100,'Hypothèses &amp; sources'!$B$10-R95*'Hypothèses &amp; sources'!$B$9))+'Hypothèses &amp; sources'!$B$6*(G95/5*100)+'Hypothèses &amp; sources'!$B$7*(H95/5*100)+'Hypothèses &amp; sources'!$B$8*MAX(0,MIN(100,'Hypothèses &amp; sources'!$B$12-E95*'Hypothèses &amp; sources'!$B$11))-T95)</x:f>
        <x:v>76.548</x:v>
      </x:c>
      <x:c r="T95" s="33" t="n">
        <x:v>0</x:v>
      </x:c>
    </x:row>
    <x:row r="96">
      <x:c r="A96" s="33" t="n">
        <x:v>92</x:v>
      </x:c>
      <x:c r="B96" s="38" t="str">
        <x:v>Minted moroccan chicken wraps</x:v>
      </x:c>
      <x:c r="C96" s="38" t="str">
        <x:v>Tacos / sandwich</x:v>
      </x:c>
      <x:c r="D96" s="38" t="str">
        <x:v>tortillas ou pain, crudités, sauce, poulet</x:v>
      </x:c>
      <x:c r="E96" s="33" t="n">
        <x:v>20</x:v>
      </x:c>
      <x:c r="F96" s="33" t="n">
        <x:v>30</x:v>
      </x:c>
      <x:c r="G96" s="56" t="n">
        <x:v>3.9</x:v>
      </x:c>
      <x:c r="H96" s="56" t="n">
        <x:v>3.5</x:v>
      </x:c>
      <x:c r="I96" s="33" t="n">
        <x:v>0</x:v>
      </x:c>
      <x:c r="J96" s="57" t="n">
        <x:v>9.7</x:v>
      </x:c>
      <x:c r="K96" s="57" t="n">
        <x:f>J96*'Hypothèses &amp; sources'!$E$4</x:f>
        <x:v>9.7</x:v>
      </x:c>
      <x:c r="L96" s="57" t="n">
        <x:f>J96*'Hypothèses &amp; sources'!$F$4</x:f>
        <x:v>10.282</x:v>
      </x:c>
      <x:c r="M96" s="57" t="n">
        <x:f>J96*'Hypothèses &amp; sources'!$G$4</x:f>
        <x:v>10.67</x:v>
      </x:c>
      <x:c r="N96" s="57" t="n">
        <x:f>J96*'Hypothèses &amp; sources'!$H$4</x:f>
        <x:v>10.767</x:v>
      </x:c>
      <x:c r="O96" s="57" t="n">
        <x:f>J96*'Hypothèses &amp; sources'!$I$4</x:f>
        <x:v>12.027999999999999</x:v>
      </x:c>
      <x:c r="P96" s="57" t="str">
        <x:v>Lidl</x:v>
      </x:c>
      <x:c r="Q96" s="57" t="n">
        <x:f>IF(P96="Lidl",K96,IF(P96="Super U",L96,IF(P96="Carrefour",M96,IF(P96="Auchan",N96,O96))))</x:f>
        <x:v>9.7</x:v>
      </x:c>
      <x:c r="R96" s="57" t="n">
        <x:f>Q96/'Hypothèses &amp; sources'!$B$4</x:f>
        <x:v>2.425</x:v>
      </x:c>
      <x:c r="S96" s="56" t="n">
        <x:f>MAX(0,'Hypothèses &amp; sources'!$B$5*MAX(0,MIN(100,'Hypothèses &amp; sources'!$B$10-R96*'Hypothèses &amp; sources'!$B$9))+'Hypothèses &amp; sources'!$B$6*(G96/5*100)+'Hypothèses &amp; sources'!$B$7*(H96/5*100)+'Hypothèses &amp; sources'!$B$8*MAX(0,MIN(100,'Hypothèses &amp; sources'!$B$12-E96*'Hypothèses &amp; sources'!$B$11))-T96)</x:f>
        <x:v>76.33800000000001</x:v>
      </x:c>
      <x:c r="T96" s="33" t="n">
        <x:v>0</x:v>
      </x:c>
    </x:row>
    <x:row r="97">
      <x:c r="A97" s="33" t="n">
        <x:v>93</x:v>
      </x:c>
      <x:c r="B97" s="38" t="str">
        <x:v>Sandwich au poulet party club</x:v>
      </x:c>
      <x:c r="C97" s="38" t="str">
        <x:v>Tacos / sandwich</x:v>
      </x:c>
      <x:c r="D97" s="38" t="str">
        <x:v>tortillas ou pain, crudités, sauce, poulet</x:v>
      </x:c>
      <x:c r="E97" s="33" t="n">
        <x:v>20</x:v>
      </x:c>
      <x:c r="F97" s="33" t="n">
        <x:v>30</x:v>
      </x:c>
      <x:c r="G97" s="56" t="n">
        <x:v>3.9</x:v>
      </x:c>
      <x:c r="H97" s="56" t="n">
        <x:v>3.5</x:v>
      </x:c>
      <x:c r="I97" s="33" t="n">
        <x:v>0</x:v>
      </x:c>
      <x:c r="J97" s="57" t="n">
        <x:v>9.7</x:v>
      </x:c>
      <x:c r="K97" s="57" t="n">
        <x:f>J97*'Hypothèses &amp; sources'!$E$4</x:f>
        <x:v>9.7</x:v>
      </x:c>
      <x:c r="L97" s="57" t="n">
        <x:f>J97*'Hypothèses &amp; sources'!$F$4</x:f>
        <x:v>10.282</x:v>
      </x:c>
      <x:c r="M97" s="57" t="n">
        <x:f>J97*'Hypothèses &amp; sources'!$G$4</x:f>
        <x:v>10.67</x:v>
      </x:c>
      <x:c r="N97" s="57" t="n">
        <x:f>J97*'Hypothèses &amp; sources'!$H$4</x:f>
        <x:v>10.767</x:v>
      </x:c>
      <x:c r="O97" s="57" t="n">
        <x:f>J97*'Hypothèses &amp; sources'!$I$4</x:f>
        <x:v>12.027999999999999</x:v>
      </x:c>
      <x:c r="P97" s="57" t="str">
        <x:v>Lidl</x:v>
      </x:c>
      <x:c r="Q97" s="57" t="n">
        <x:f>IF(P97="Lidl",K97,IF(P97="Super U",L97,IF(P97="Carrefour",M97,IF(P97="Auchan",N97,O97))))</x:f>
        <x:v>9.7</x:v>
      </x:c>
      <x:c r="R97" s="57" t="n">
        <x:f>Q97/'Hypothèses &amp; sources'!$B$4</x:f>
        <x:v>2.425</x:v>
      </x:c>
      <x:c r="S97" s="56" t="n">
        <x:f>MAX(0,'Hypothèses &amp; sources'!$B$5*MAX(0,MIN(100,'Hypothèses &amp; sources'!$B$10-R97*'Hypothèses &amp; sources'!$B$9))+'Hypothèses &amp; sources'!$B$6*(G97/5*100)+'Hypothèses &amp; sources'!$B$7*(H97/5*100)+'Hypothèses &amp; sources'!$B$8*MAX(0,MIN(100,'Hypothèses &amp; sources'!$B$12-E97*'Hypothèses &amp; sources'!$B$11))-T97)</x:f>
        <x:v>76.33800000000001</x:v>
      </x:c>
      <x:c r="T97" s="33" t="n">
        <x:v>0</x:v>
      </x:c>
    </x:row>
    <x:row r="98">
      <x:c r="A98" s="33" t="n">
        <x:v>94</x:v>
      </x:c>
      <x:c r="B98" s="38" t="str">
        <x:v>Tacos au poulet effiloché</x:v>
      </x:c>
      <x:c r="C98" s="38" t="str">
        <x:v>Tacos / sandwich</x:v>
      </x:c>
      <x:c r="D98" s="38" t="str">
        <x:v>tortillas ou pain, crudités, sauce, poulet</x:v>
      </x:c>
      <x:c r="E98" s="33" t="n">
        <x:v>20</x:v>
      </x:c>
      <x:c r="F98" s="33" t="n">
        <x:v>30</x:v>
      </x:c>
      <x:c r="G98" s="56" t="n">
        <x:v>3.9</x:v>
      </x:c>
      <x:c r="H98" s="56" t="n">
        <x:v>3.5</x:v>
      </x:c>
      <x:c r="I98" s="33" t="n">
        <x:v>0</x:v>
      </x:c>
      <x:c r="J98" s="57" t="n">
        <x:v>9.7</x:v>
      </x:c>
      <x:c r="K98" s="57" t="n">
        <x:f>J98*'Hypothèses &amp; sources'!$E$4</x:f>
        <x:v>9.7</x:v>
      </x:c>
      <x:c r="L98" s="57" t="n">
        <x:f>J98*'Hypothèses &amp; sources'!$F$4</x:f>
        <x:v>10.282</x:v>
      </x:c>
      <x:c r="M98" s="57" t="n">
        <x:f>J98*'Hypothèses &amp; sources'!$G$4</x:f>
        <x:v>10.67</x:v>
      </x:c>
      <x:c r="N98" s="57" t="n">
        <x:f>J98*'Hypothèses &amp; sources'!$H$4</x:f>
        <x:v>10.767</x:v>
      </x:c>
      <x:c r="O98" s="57" t="n">
        <x:f>J98*'Hypothèses &amp; sources'!$I$4</x:f>
        <x:v>12.027999999999999</x:v>
      </x:c>
      <x:c r="P98" s="57" t="str">
        <x:v>Lidl</x:v>
      </x:c>
      <x:c r="Q98" s="57" t="n">
        <x:f>IF(P98="Lidl",K98,IF(P98="Super U",L98,IF(P98="Carrefour",M98,IF(P98="Auchan",N98,O98))))</x:f>
        <x:v>9.7</x:v>
      </x:c>
      <x:c r="R98" s="57" t="n">
        <x:f>Q98/'Hypothèses &amp; sources'!$B$4</x:f>
        <x:v>2.425</x:v>
      </x:c>
      <x:c r="S98" s="56" t="n">
        <x:f>MAX(0,'Hypothèses &amp; sources'!$B$5*MAX(0,MIN(100,'Hypothèses &amp; sources'!$B$10-R98*'Hypothèses &amp; sources'!$B$9))+'Hypothèses &amp; sources'!$B$6*(G98/5*100)+'Hypothèses &amp; sources'!$B$7*(H98/5*100)+'Hypothèses &amp; sources'!$B$8*MAX(0,MIN(100,'Hypothèses &amp; sources'!$B$12-E98*'Hypothèses &amp; sources'!$B$11))-T98)</x:f>
        <x:v>76.33800000000001</x:v>
      </x:c>
      <x:c r="T98" s="33" t="n">
        <x:v>0</x:v>
      </x:c>
    </x:row>
    <x:row r="99">
      <x:c r="A99" s="33" t="n">
        <x:v>95</x:v>
      </x:c>
      <x:c r="B99" s="38" t="str">
        <x:v>Stuffed cabbage rolls / halupki</x:v>
      </x:c>
      <x:c r="C99" s="38" t="str">
        <x:v>Gratin / farci</x:v>
      </x:c>
      <x:c r="D99" s="38" t="str">
        <x:v>chou, bœuf et porc hachés, riz, tomates, oignon</x:v>
      </x:c>
      <x:c r="E99" s="33" t="n">
        <x:v>35</x:v>
      </x:c>
      <x:c r="F99" s="33" t="n">
        <x:v>90</x:v>
      </x:c>
      <x:c r="G99" s="56" t="n">
        <x:v>4.8</x:v>
      </x:c>
      <x:c r="H99" s="56" t="n">
        <x:v>4</x:v>
      </x:c>
      <x:c r="I99" s="33" t="n">
        <x:v>0</x:v>
      </x:c>
      <x:c r="J99" s="57" t="n">
        <x:v>12</x:v>
      </x:c>
      <x:c r="K99" s="57" t="n">
        <x:f>J99*'Hypothèses &amp; sources'!$E$4</x:f>
        <x:v>12</x:v>
      </x:c>
      <x:c r="L99" s="57" t="n">
        <x:f>J99*'Hypothèses &amp; sources'!$F$4</x:f>
        <x:v>12.72</x:v>
      </x:c>
      <x:c r="M99" s="57" t="n">
        <x:f>J99*'Hypothèses &amp; sources'!$G$4</x:f>
        <x:v>13.200000000000001</x:v>
      </x:c>
      <x:c r="N99" s="57" t="n">
        <x:f>J99*'Hypothèses &amp; sources'!$H$4</x:f>
        <x:v>13.32</x:v>
      </x:c>
      <x:c r="O99" s="57" t="n">
        <x:f>J99*'Hypothèses &amp; sources'!$I$4</x:f>
        <x:v>14.879999999999999</x:v>
      </x:c>
      <x:c r="P99" s="57" t="str">
        <x:v>Lidl</x:v>
      </x:c>
      <x:c r="Q99" s="57" t="n">
        <x:f>IF(P99="Lidl",K99,IF(P99="Super U",L99,IF(P99="Carrefour",M99,IF(P99="Auchan",N99,O99))))</x:f>
        <x:v>12</x:v>
      </x:c>
      <x:c r="R99" s="57" t="n">
        <x:f>Q99/'Hypothèses &amp; sources'!$B$4</x:f>
        <x:v>3</x:v>
      </x:c>
      <x:c r="S99" s="56" t="n">
        <x:f>MAX(0,'Hypothèses &amp; sources'!$B$5*MAX(0,MIN(100,'Hypothèses &amp; sources'!$B$10-R99*'Hypothèses &amp; sources'!$B$9))+'Hypothèses &amp; sources'!$B$6*(G99/5*100)+'Hypothèses &amp; sources'!$B$7*(H99/5*100)+'Hypothèses &amp; sources'!$B$8*MAX(0,MIN(100,'Hypothèses &amp; sources'!$B$12-E99*'Hypothèses &amp; sources'!$B$11))-T99)</x:f>
        <x:v>76.32</x:v>
      </x:c>
      <x:c r="T99" s="33" t="n">
        <x:v>0</x:v>
      </x:c>
    </x:row>
    <x:row r="100">
      <x:c r="A100" s="33" t="n">
        <x:v>96</x:v>
      </x:c>
      <x:c r="B100" s="38" t="str">
        <x:v>Pork chile verde</x:v>
      </x:c>
      <x:c r="C100" s="38" t="str">
        <x:v>Plat complet</x:v>
      </x:c>
      <x:c r="D100" s="38" t="str">
        <x:v>piment / chili, porc</x:v>
      </x:c>
      <x:c r="E100" s="33" t="n">
        <x:v>20</x:v>
      </x:c>
      <x:c r="F100" s="33" t="n">
        <x:v>40</x:v>
      </x:c>
      <x:c r="G100" s="56" t="n">
        <x:v>3.9</x:v>
      </x:c>
      <x:c r="H100" s="56" t="n">
        <x:v>3.1</x:v>
      </x:c>
      <x:c r="I100" s="33" t="n">
        <x:v>0</x:v>
      </x:c>
      <x:c r="J100" s="57" t="n">
        <x:v>8.6</x:v>
      </x:c>
      <x:c r="K100" s="57" t="n">
        <x:f>J100*'Hypothèses &amp; sources'!$E$4</x:f>
        <x:v>8.6</x:v>
      </x:c>
      <x:c r="L100" s="57" t="n">
        <x:f>J100*'Hypothèses &amp; sources'!$F$4</x:f>
        <x:v>9.116</x:v>
      </x:c>
      <x:c r="M100" s="57" t="n">
        <x:f>J100*'Hypothèses &amp; sources'!$G$4</x:f>
        <x:v>9.46</x:v>
      </x:c>
      <x:c r="N100" s="57" t="n">
        <x:f>J100*'Hypothèses &amp; sources'!$H$4</x:f>
        <x:v>9.546000000000001</x:v>
      </x:c>
      <x:c r="O100" s="57" t="n">
        <x:f>J100*'Hypothèses &amp; sources'!$I$4</x:f>
        <x:v>10.664</x:v>
      </x:c>
      <x:c r="P100" s="57" t="str">
        <x:v>Lidl</x:v>
      </x:c>
      <x:c r="Q100" s="57" t="n">
        <x:f>IF(P100="Lidl",K100,IF(P100="Super U",L100,IF(P100="Carrefour",M100,IF(P100="Auchan",N100,O100))))</x:f>
        <x:v>8.6</x:v>
      </x:c>
      <x:c r="R100" s="57" t="n">
        <x:f>Q100/'Hypothèses &amp; sources'!$B$4</x:f>
        <x:v>2.15</x:v>
      </x:c>
      <x:c r="S100" s="56" t="n">
        <x:f>MAX(0,'Hypothèses &amp; sources'!$B$5*MAX(0,MIN(100,'Hypothèses &amp; sources'!$B$10-R100*'Hypothèses &amp; sources'!$B$9))+'Hypothèses &amp; sources'!$B$6*(G100/5*100)+'Hypothèses &amp; sources'!$B$7*(H100/5*100)+'Hypothèses &amp; sources'!$B$8*MAX(0,MIN(100,'Hypothèses &amp; sources'!$B$12-E100*'Hypothèses &amp; sources'!$B$11))-T100)</x:f>
        <x:v>76.284</x:v>
      </x:c>
      <x:c r="T100" s="33" t="n">
        <x:v>0</x:v>
      </x:c>
    </x:row>
    <x:row r="101">
      <x:c r="A101" s="33" t="n">
        <x:v>97</x:v>
      </x:c>
      <x:c r="B101" s="38" t="str">
        <x:v>Soupe enchilada au poulet et au fromage</x:v>
      </x:c>
      <x:c r="C101" s="38" t="str">
        <x:v>Soupe / bouillon</x:v>
      </x:c>
      <x:c r="D101" s="38" t="str">
        <x:v>bouillon, oignon, poulet, crème / fromage, légumes</x:v>
      </x:c>
      <x:c r="E101" s="33" t="n">
        <x:v>15</x:v>
      </x:c>
      <x:c r="F101" s="33" t="n">
        <x:v>35</x:v>
      </x:c>
      <x:c r="G101" s="56" t="n">
        <x:v>4.2</x:v>
      </x:c>
      <x:c r="H101" s="56" t="n">
        <x:v>3.8</x:v>
      </x:c>
      <x:c r="I101" s="33" t="n">
        <x:v>0</x:v>
      </x:c>
      <x:c r="J101" s="57" t="n">
        <x:v>13.1</x:v>
      </x:c>
      <x:c r="K101" s="57" t="n">
        <x:f>J101*'Hypothèses &amp; sources'!$E$4</x:f>
        <x:v>13.1</x:v>
      </x:c>
      <x:c r="L101" s="57" t="n">
        <x:f>J101*'Hypothèses &amp; sources'!$F$4</x:f>
        <x:v>13.886000000000001</x:v>
      </x:c>
      <x:c r="M101" s="57" t="n">
        <x:f>J101*'Hypothèses &amp; sources'!$G$4</x:f>
        <x:v>14.41</x:v>
      </x:c>
      <x:c r="N101" s="57" t="n">
        <x:f>J101*'Hypothèses &amp; sources'!$H$4</x:f>
        <x:v>14.541</x:v>
      </x:c>
      <x:c r="O101" s="57" t="n">
        <x:f>J101*'Hypothèses &amp; sources'!$I$4</x:f>
        <x:v>16.244</x:v>
      </x:c>
      <x:c r="P101" s="57" t="str">
        <x:v>Lidl</x:v>
      </x:c>
      <x:c r="Q101" s="57" t="n">
        <x:f>IF(P101="Lidl",K101,IF(P101="Super U",L101,IF(P101="Carrefour",M101,IF(P101="Auchan",N101,O101))))</x:f>
        <x:v>13.1</x:v>
      </x:c>
      <x:c r="R101" s="57" t="n">
        <x:f>Q101/'Hypothèses &amp; sources'!$B$4</x:f>
        <x:v>3.275</x:v>
      </x:c>
      <x:c r="S101" s="56" t="n">
        <x:f>MAX(0,'Hypothèses &amp; sources'!$B$5*MAX(0,MIN(100,'Hypothèses &amp; sources'!$B$10-R101*'Hypothèses &amp; sources'!$B$9))+'Hypothèses &amp; sources'!$B$6*(G101/5*100)+'Hypothèses &amp; sources'!$B$7*(H101/5*100)+'Hypothèses &amp; sources'!$B$8*MAX(0,MIN(100,'Hypothèses &amp; sources'!$B$12-E101*'Hypothèses &amp; sources'!$B$11))-T101)</x:f>
        <x:v>76.134</x:v>
      </x:c>
      <x:c r="T101" s="33" t="n">
        <x:v>0</x:v>
      </x:c>
    </x:row>
    <x:row r="102">
      <x:c r="A102" s="33" t="n">
        <x:v>98</x:v>
      </x:c>
      <x:c r="B102" s="38" t="str">
        <x:v>One-pot chicken pad Thai</x:v>
      </x:c>
      <x:c r="C102" s="38" t="str">
        <x:v>Nouilles / poulet</x:v>
      </x:c>
      <x:c r="D102" s="38" t="str">
        <x:v>nouilles de riz, poulet, œufs, pousses de soja, cacahuètes, citron vert, sauce de poisson</x:v>
      </x:c>
      <x:c r="E102" s="33" t="n">
        <x:v>25</x:v>
      </x:c>
      <x:c r="F102" s="33" t="n">
        <x:v>40</x:v>
      </x:c>
      <x:c r="G102" s="56" t="n">
        <x:v>4.6</x:v>
      </x:c>
      <x:c r="H102" s="56" t="n">
        <x:v>4</x:v>
      </x:c>
      <x:c r="I102" s="33" t="n">
        <x:v>2</x:v>
      </x:c>
      <x:c r="J102" s="57" t="n">
        <x:v>12.2</x:v>
      </x:c>
      <x:c r="K102" s="57" t="n">
        <x:f>J102*'Hypothèses &amp; sources'!$E$4</x:f>
        <x:v>12.2</x:v>
      </x:c>
      <x:c r="L102" s="57" t="n">
        <x:f>J102*'Hypothèses &amp; sources'!$F$4</x:f>
        <x:v>12.932</x:v>
      </x:c>
      <x:c r="M102" s="57" t="n">
        <x:f>J102*'Hypothèses &amp; sources'!$G$4</x:f>
        <x:v>13.42</x:v>
      </x:c>
      <x:c r="N102" s="57" t="n">
        <x:f>J102*'Hypothèses &amp; sources'!$H$4</x:f>
        <x:v>13.542</x:v>
      </x:c>
      <x:c r="O102" s="57" t="n">
        <x:f>J102*'Hypothèses &amp; sources'!$I$4</x:f>
        <x:v>15.127999999999998</x:v>
      </x:c>
      <x:c r="P102" s="57" t="str">
        <x:v>Carrefour</x:v>
      </x:c>
      <x:c r="Q102" s="57" t="n">
        <x:f>IF(P102="Lidl",K102,IF(P102="Super U",L102,IF(P102="Carrefour",M102,IF(P102="Auchan",N102,O102))))</x:f>
        <x:v>13.42</x:v>
      </x:c>
      <x:c r="R102" s="57" t="n">
        <x:f>Q102/'Hypothèses &amp; sources'!$B$4</x:f>
        <x:v>3.355</x:v>
      </x:c>
      <x:c r="S102" s="56" t="n">
        <x:f>MAX(0,'Hypothèses &amp; sources'!$B$5*MAX(0,MIN(100,'Hypothèses &amp; sources'!$B$10-R102*'Hypothèses &amp; sources'!$B$9))+'Hypothèses &amp; sources'!$B$6*(G102/5*100)+'Hypothèses &amp; sources'!$B$7*(H102/5*100)+'Hypothèses &amp; sources'!$B$8*MAX(0,MIN(100,'Hypothèses &amp; sources'!$B$12-E102*'Hypothèses &amp; sources'!$B$11))-T102)</x:f>
        <x:v>76.05080000000001</x:v>
      </x:c>
      <x:c r="T102" s="33" t="n">
        <x:v>0</x:v>
      </x:c>
    </x:row>
    <x:row r="103">
      <x:c r="A103" s="33" t="n">
        <x:v>99</x:v>
      </x:c>
      <x:c r="B103" s="38" t="str">
        <x:v>Pain de viande</x:v>
      </x:c>
      <x:c r="C103" s="38" t="str">
        <x:v>Plat de viande</x:v>
      </x:c>
      <x:c r="D103" s="38" t="str">
        <x:v>bœuf haché, œufs, chapelure, oignon, sauce tomate</x:v>
      </x:c>
      <x:c r="E103" s="33" t="n">
        <x:v>20</x:v>
      </x:c>
      <x:c r="F103" s="33" t="n">
        <x:v>60</x:v>
      </x:c>
      <x:c r="G103" s="56" t="n">
        <x:v>4.6</x:v>
      </x:c>
      <x:c r="H103" s="56" t="n">
        <x:v>3.2</x:v>
      </x:c>
      <x:c r="I103" s="33" t="n">
        <x:v>0</x:v>
      </x:c>
      <x:c r="J103" s="57" t="n">
        <x:v>12.2</x:v>
      </x:c>
      <x:c r="K103" s="57" t="n">
        <x:f>J103*'Hypothèses &amp; sources'!$E$4</x:f>
        <x:v>12.2</x:v>
      </x:c>
      <x:c r="L103" s="57" t="n">
        <x:f>J103*'Hypothèses &amp; sources'!$F$4</x:f>
        <x:v>12.932</x:v>
      </x:c>
      <x:c r="M103" s="57" t="n">
        <x:f>J103*'Hypothèses &amp; sources'!$G$4</x:f>
        <x:v>13.42</x:v>
      </x:c>
      <x:c r="N103" s="57" t="n">
        <x:f>J103*'Hypothèses &amp; sources'!$H$4</x:f>
        <x:v>13.542</x:v>
      </x:c>
      <x:c r="O103" s="57" t="n">
        <x:f>J103*'Hypothèses &amp; sources'!$I$4</x:f>
        <x:v>15.127999999999998</x:v>
      </x:c>
      <x:c r="P103" s="57" t="str">
        <x:v>Lidl</x:v>
      </x:c>
      <x:c r="Q103" s="57" t="n">
        <x:f>IF(P103="Lidl",K103,IF(P103="Super U",L103,IF(P103="Carrefour",M103,IF(P103="Auchan",N103,O103))))</x:f>
        <x:v>12.2</x:v>
      </x:c>
      <x:c r="R103" s="57" t="n">
        <x:f>Q103/'Hypothèses &amp; sources'!$B$4</x:f>
        <x:v>3.05</x:v>
      </x:c>
      <x:c r="S103" s="56" t="n">
        <x:f>MAX(0,'Hypothèses &amp; sources'!$B$5*MAX(0,MIN(100,'Hypothèses &amp; sources'!$B$10-R103*'Hypothèses &amp; sources'!$B$9))+'Hypothèses &amp; sources'!$B$6*(G103/5*100)+'Hypothèses &amp; sources'!$B$7*(H103/5*100)+'Hypothèses &amp; sources'!$B$8*MAX(0,MIN(100,'Hypothèses &amp; sources'!$B$12-E103*'Hypothèses &amp; sources'!$B$11))-T103)</x:f>
        <x:v>76.028</x:v>
      </x:c>
      <x:c r="T103" s="33" t="n">
        <x:v>0</x:v>
      </x:c>
    </x:row>
    <x:row r="104">
      <x:c r="A104" s="33" t="n">
        <x:v>100</x:v>
      </x:c>
      <x:c r="B104" s="38" t="str">
        <x:v>Quiche sans croute pour l amateurs de viande</x:v>
      </x:c>
      <x:c r="C104" s="38" t="str">
        <x:v>Quiche / œufs</x:v>
      </x:c>
      <x:c r="D104" s="38" t="str">
        <x:v>œufs, bacon, saucisse, jambon, fromage, crème</x:v>
      </x:c>
      <x:c r="E104" s="33" t="n">
        <x:v>15</x:v>
      </x:c>
      <x:c r="F104" s="33" t="n">
        <x:v>45</x:v>
      </x:c>
      <x:c r="G104" s="56" t="n">
        <x:v>4.5</x:v>
      </x:c>
      <x:c r="H104" s="56" t="n">
        <x:v>2.8</x:v>
      </x:c>
      <x:c r="I104" s="33" t="n">
        <x:v>0</x:v>
      </x:c>
      <x:c r="J104" s="57" t="n">
        <x:v>11.8</x:v>
      </x:c>
      <x:c r="K104" s="57" t="n">
        <x:f>J104*'Hypothèses &amp; sources'!$E$4</x:f>
        <x:v>11.8</x:v>
      </x:c>
      <x:c r="L104" s="57" t="n">
        <x:f>J104*'Hypothèses &amp; sources'!$F$4</x:f>
        <x:v>12.508000000000001</x:v>
      </x:c>
      <x:c r="M104" s="57" t="n">
        <x:f>J104*'Hypothèses &amp; sources'!$G$4</x:f>
        <x:v>12.980000000000002</x:v>
      </x:c>
      <x:c r="N104" s="57" t="n">
        <x:f>J104*'Hypothèses &amp; sources'!$H$4</x:f>
        <x:v>13.098000000000003</x:v>
      </x:c>
      <x:c r="O104" s="57" t="n">
        <x:f>J104*'Hypothèses &amp; sources'!$I$4</x:f>
        <x:v>14.632000000000001</x:v>
      </x:c>
      <x:c r="P104" s="57" t="str">
        <x:v>Lidl</x:v>
      </x:c>
      <x:c r="Q104" s="57" t="n">
        <x:f>IF(P104="Lidl",K104,IF(P104="Super U",L104,IF(P104="Carrefour",M104,IF(P104="Auchan",N104,O104))))</x:f>
        <x:v>11.8</x:v>
      </x:c>
      <x:c r="R104" s="57" t="n">
        <x:f>Q104/'Hypothèses &amp; sources'!$B$4</x:f>
        <x:v>2.95</x:v>
      </x:c>
      <x:c r="S104" s="56" t="n">
        <x:f>MAX(0,'Hypothèses &amp; sources'!$B$5*MAX(0,MIN(100,'Hypothèses &amp; sources'!$B$10-R104*'Hypothèses &amp; sources'!$B$9))+'Hypothèses &amp; sources'!$B$6*(G104/5*100)+'Hypothèses &amp; sources'!$B$7*(H104/5*100)+'Hypothèses &amp; sources'!$B$8*MAX(0,MIN(100,'Hypothèses &amp; sources'!$B$12-E104*'Hypothèses &amp; sources'!$B$11))-T104)</x:f>
        <x:v>75.85199999999999</x:v>
      </x:c>
      <x:c r="T104" s="33" t="n">
        <x:v>0</x:v>
      </x:c>
    </x:row>
    <x:row r="105">
      <x:c r="A105" s="33" t="n">
        <x:v>101</x:v>
      </x:c>
      <x:c r="B105" s="38" t="str">
        <x:v>Biryani au paneer</x:v>
      </x:c>
      <x:c r="C105" s="38" t="str">
        <x:v>Biryani / végétarien</x:v>
      </x:c>
      <x:c r="D105" s="38" t="str">
        <x:v>paneer, riz basmati, oignon, tomates, yaourt, épices</x:v>
      </x:c>
      <x:c r="E105" s="33" t="n">
        <x:v>30</x:v>
      </x:c>
      <x:c r="F105" s="33" t="n">
        <x:v>60</x:v>
      </x:c>
      <x:c r="G105" s="56" t="n">
        <x:v>4.5</x:v>
      </x:c>
      <x:c r="H105" s="56" t="n">
        <x:v>4</x:v>
      </x:c>
      <x:c r="I105" s="33" t="n">
        <x:v>2</x:v>
      </x:c>
      <x:c r="J105" s="57" t="n">
        <x:v>11</x:v>
      </x:c>
      <x:c r="K105" s="57" t="n">
        <x:f>J105*'Hypothèses &amp; sources'!$E$4</x:f>
        <x:v>11</x:v>
      </x:c>
      <x:c r="L105" s="57" t="n">
        <x:f>J105*'Hypothèses &amp; sources'!$F$4</x:f>
        <x:v>11.66</x:v>
      </x:c>
      <x:c r="M105" s="57" t="n">
        <x:f>J105*'Hypothèses &amp; sources'!$G$4</x:f>
        <x:v>12.100000000000001</x:v>
      </x:c>
      <x:c r="N105" s="57" t="n">
        <x:f>J105*'Hypothèses &amp; sources'!$H$4</x:f>
        <x:v>12.21</x:v>
      </x:c>
      <x:c r="O105" s="57" t="n">
        <x:f>J105*'Hypothèses &amp; sources'!$I$4</x:f>
        <x:v>13.64</x:v>
      </x:c>
      <x:c r="P105" s="57" t="str">
        <x:v>Carrefour</x:v>
      </x:c>
      <x:c r="Q105" s="57" t="n">
        <x:f>IF(P105="Lidl",K105,IF(P105="Super U",L105,IF(P105="Carrefour",M105,IF(P105="Auchan",N105,O105))))</x:f>
        <x:v>12.100000000000001</x:v>
      </x:c>
      <x:c r="R105" s="57" t="n">
        <x:f>Q105/'Hypothèses &amp; sources'!$B$4</x:f>
        <x:v>3.0250000000000004</x:v>
      </x:c>
      <x:c r="S105" s="56" t="n">
        <x:f>MAX(0,'Hypothèses &amp; sources'!$B$5*MAX(0,MIN(100,'Hypothèses &amp; sources'!$B$10-R105*'Hypothèses &amp; sources'!$B$9))+'Hypothèses &amp; sources'!$B$6*(G105/5*100)+'Hypothèses &amp; sources'!$B$7*(H105/5*100)+'Hypothèses &amp; sources'!$B$8*MAX(0,MIN(100,'Hypothèses &amp; sources'!$B$12-E105*'Hypothèses &amp; sources'!$B$11))-T105)</x:f>
        <x:v>75.834</x:v>
      </x:c>
      <x:c r="T105" s="33" t="n">
        <x:v>0</x:v>
      </x:c>
    </x:row>
    <x:row r="106">
      <x:c r="A106" s="33" t="n">
        <x:v>102</x:v>
      </x:c>
      <x:c r="B106" s="38" t="str">
        <x:v>Smoked salmon frittata</x:v>
      </x:c>
      <x:c r="C106" s="38" t="str">
        <x:v>Plat complet</x:v>
      </x:c>
      <x:c r="D106" s="38" t="str">
        <x:v>œufs, saumon fumé</x:v>
      </x:c>
      <x:c r="E106" s="33" t="n">
        <x:v>10</x:v>
      </x:c>
      <x:c r="F106" s="33" t="n">
        <x:v>25</x:v>
      </x:c>
      <x:c r="G106" s="56" t="n">
        <x:v>3.6</x:v>
      </x:c>
      <x:c r="H106" s="56" t="n">
        <x:v>3.7</x:v>
      </x:c>
      <x:c r="I106" s="33" t="n">
        <x:v>1</x:v>
      </x:c>
      <x:c r="J106" s="57" t="n">
        <x:v>10.8</x:v>
      </x:c>
      <x:c r="K106" s="57" t="n">
        <x:f>J106*'Hypothèses &amp; sources'!$E$4</x:f>
        <x:v>10.8</x:v>
      </x:c>
      <x:c r="L106" s="57" t="n">
        <x:f>J106*'Hypothèses &amp; sources'!$F$4</x:f>
        <x:v>11.448000000000002</x:v>
      </x:c>
      <x:c r="M106" s="57" t="n">
        <x:f>J106*'Hypothèses &amp; sources'!$G$4</x:f>
        <x:v>11.880000000000003</x:v>
      </x:c>
      <x:c r="N106" s="57" t="n">
        <x:f>J106*'Hypothèses &amp; sources'!$H$4</x:f>
        <x:v>11.988000000000001</x:v>
      </x:c>
      <x:c r="O106" s="57" t="n">
        <x:f>J106*'Hypothèses &amp; sources'!$I$4</x:f>
        <x:v>13.392000000000001</x:v>
      </x:c>
      <x:c r="P106" s="57" t="str">
        <x:v>Super U</x:v>
      </x:c>
      <x:c r="Q106" s="57" t="n">
        <x:f>IF(P106="Lidl",K106,IF(P106="Super U",L106,IF(P106="Carrefour",M106,IF(P106="Auchan",N106,O106))))</x:f>
        <x:v>11.448000000000002</x:v>
      </x:c>
      <x:c r="R106" s="57" t="n">
        <x:f>Q106/'Hypothèses &amp; sources'!$B$4</x:f>
        <x:v>2.8620000000000005</x:v>
      </x:c>
      <x:c r="S106" s="56" t="n">
        <x:f>MAX(0,'Hypothèses &amp; sources'!$B$5*MAX(0,MIN(100,'Hypothèses &amp; sources'!$B$10-R106*'Hypothèses &amp; sources'!$B$9))+'Hypothèses &amp; sources'!$B$6*(G106/5*100)+'Hypothèses &amp; sources'!$B$7*(H106/5*100)+'Hypothèses &amp; sources'!$B$8*MAX(0,MIN(100,'Hypothèses &amp; sources'!$B$12-E106*'Hypothèses &amp; sources'!$B$11))-T106)</x:f>
        <x:v>75.81551999999999</x:v>
      </x:c>
      <x:c r="T106" s="33" t="n">
        <x:v>0</x:v>
      </x:c>
    </x:row>
    <x:row r="107">
      <x:c r="A107" s="33" t="n">
        <x:v>103</x:v>
      </x:c>
      <x:c r="B107" s="38" t="str">
        <x:v>Beets with goat cheese</x:v>
      </x:c>
      <x:c r="C107" s="38" t="str">
        <x:v>Salade / accompagnement</x:v>
      </x:c>
      <x:c r="D107" s="38" t="str">
        <x:v>betteraves, fromage de chèvre, noix, roquette, vinaigrette</x:v>
      </x:c>
      <x:c r="E107" s="33" t="n">
        <x:v>15</x:v>
      </x:c>
      <x:c r="F107" s="33" t="n">
        <x:v>25</x:v>
      </x:c>
      <x:c r="G107" s="56" t="n">
        <x:v>3.4</x:v>
      </x:c>
      <x:c r="H107" s="56" t="n">
        <x:v>4.2</x:v>
      </x:c>
      <x:c r="I107" s="33" t="n">
        <x:v>0</x:v>
      </x:c>
      <x:c r="J107" s="57" t="n">
        <x:v>7</x:v>
      </x:c>
      <x:c r="K107" s="57" t="n">
        <x:f>J107*'Hypothèses &amp; sources'!$E$4</x:f>
        <x:v>7</x:v>
      </x:c>
      <x:c r="L107" s="57" t="n">
        <x:f>J107*'Hypothèses &amp; sources'!$F$4</x:f>
        <x:v>7.42</x:v>
      </x:c>
      <x:c r="M107" s="57" t="n">
        <x:f>J107*'Hypothèses &amp; sources'!$G$4</x:f>
        <x:v>7.700000000000001</x:v>
      </x:c>
      <x:c r="N107" s="57" t="n">
        <x:f>J107*'Hypothèses &amp; sources'!$H$4</x:f>
        <x:v>7.7700000000000005</x:v>
      </x:c>
      <x:c r="O107" s="57" t="n">
        <x:f>J107*'Hypothèses &amp; sources'!$I$4</x:f>
        <x:v>8.68</x:v>
      </x:c>
      <x:c r="P107" s="57" t="str">
        <x:v>Lidl</x:v>
      </x:c>
      <x:c r="Q107" s="57" t="n">
        <x:f>IF(P107="Lidl",K107,IF(P107="Super U",L107,IF(P107="Carrefour",M107,IF(P107="Auchan",N107,O107))))</x:f>
        <x:v>7</x:v>
      </x:c>
      <x:c r="R107" s="57" t="n">
        <x:f>Q107/'Hypothèses &amp; sources'!$B$4</x:f>
        <x:v>1.75</x:v>
      </x:c>
      <x:c r="S107" s="56" t="n">
        <x:f>MAX(0,'Hypothèses &amp; sources'!$B$5*MAX(0,MIN(100,'Hypothèses &amp; sources'!$B$10-R107*'Hypothèses &amp; sources'!$B$9))+'Hypothèses &amp; sources'!$B$6*(G107/5*100)+'Hypothèses &amp; sources'!$B$7*(H107/5*100)+'Hypothèses &amp; sources'!$B$8*MAX(0,MIN(100,'Hypothèses &amp; sources'!$B$12-E107*'Hypothèses &amp; sources'!$B$11))-T107)</x:f>
        <x:v>75.78</x:v>
      </x:c>
      <x:c r="T107" s="33" t="n">
        <x:v>5</x:v>
      </x:c>
    </x:row>
    <x:row r="108">
      <x:c r="A108" s="33" t="n">
        <x:v>104</x:v>
      </x:c>
      <x:c r="B108" s="38" t="str">
        <x:v>Casserole d'oeufs et de poulet</x:v>
      </x:c>
      <x:c r="C108" s="38" t="str">
        <x:v>Gratin / farci</x:v>
      </x:c>
      <x:c r="D108" s="38" t="str">
        <x:v>œufs, poulet</x:v>
      </x:c>
      <x:c r="E108" s="33" t="n">
        <x:v>25</x:v>
      </x:c>
      <x:c r="F108" s="33" t="n">
        <x:v>55</x:v>
      </x:c>
      <x:c r="G108" s="56" t="n">
        <x:v>4.3</x:v>
      </x:c>
      <x:c r="H108" s="56" t="n">
        <x:v>3.5</x:v>
      </x:c>
      <x:c r="I108" s="33" t="n">
        <x:v>0</x:v>
      </x:c>
      <x:c r="J108" s="57" t="n">
        <x:v>10.9</x:v>
      </x:c>
      <x:c r="K108" s="57" t="n">
        <x:f>J108*'Hypothèses &amp; sources'!$E$4</x:f>
        <x:v>10.9</x:v>
      </x:c>
      <x:c r="L108" s="57" t="n">
        <x:f>J108*'Hypothèses &amp; sources'!$F$4</x:f>
        <x:v>11.554</x:v>
      </x:c>
      <x:c r="M108" s="57" t="n">
        <x:f>J108*'Hypothèses &amp; sources'!$G$4</x:f>
        <x:v>11.990000000000002</x:v>
      </x:c>
      <x:c r="N108" s="57" t="n">
        <x:f>J108*'Hypothèses &amp; sources'!$H$4</x:f>
        <x:v>12.099000000000002</x:v>
      </x:c>
      <x:c r="O108" s="57" t="n">
        <x:f>J108*'Hypothèses &amp; sources'!$I$4</x:f>
        <x:v>13.516</x:v>
      </x:c>
      <x:c r="P108" s="57" t="str">
        <x:v>Lidl</x:v>
      </x:c>
      <x:c r="Q108" s="57" t="n">
        <x:f>IF(P108="Lidl",K108,IF(P108="Super U",L108,IF(P108="Carrefour",M108,IF(P108="Auchan",N108,O108))))</x:f>
        <x:v>10.9</x:v>
      </x:c>
      <x:c r="R108" s="57" t="n">
        <x:f>Q108/'Hypothèses &amp; sources'!$B$4</x:f>
        <x:v>2.725</x:v>
      </x:c>
      <x:c r="S108" s="56" t="n">
        <x:f>MAX(0,'Hypothèses &amp; sources'!$B$5*MAX(0,MIN(100,'Hypothèses &amp; sources'!$B$10-R108*'Hypothèses &amp; sources'!$B$9))+'Hypothèses &amp; sources'!$B$6*(G108/5*100)+'Hypothèses &amp; sources'!$B$7*(H108/5*100)+'Hypothèses &amp; sources'!$B$8*MAX(0,MIN(100,'Hypothèses &amp; sources'!$B$12-E108*'Hypothèses &amp; sources'!$B$11))-T108)</x:f>
        <x:v>75.746</x:v>
      </x:c>
      <x:c r="T108" s="33" t="n">
        <x:v>0</x:v>
      </x:c>
    </x:row>
    <x:row r="109">
      <x:c r="A109" s="33" t="n">
        <x:v>105</x:v>
      </x:c>
      <x:c r="B109" s="38" t="str">
        <x:v>French onion chicken</x:v>
      </x:c>
      <x:c r="C109" s="38" t="str">
        <x:v>Plat complet</x:v>
      </x:c>
      <x:c r="D109" s="38" t="str">
        <x:v>oignons, bouillon, fromage, poulet</x:v>
      </x:c>
      <x:c r="E109" s="33" t="n">
        <x:v>20</x:v>
      </x:c>
      <x:c r="F109" s="33" t="n">
        <x:v>40</x:v>
      </x:c>
      <x:c r="G109" s="56" t="n">
        <x:v>3.9</x:v>
      </x:c>
      <x:c r="H109" s="56" t="n">
        <x:v>3.5</x:v>
      </x:c>
      <x:c r="I109" s="33" t="n">
        <x:v>0</x:v>
      </x:c>
      <x:c r="J109" s="57" t="n">
        <x:v>10.3</x:v>
      </x:c>
      <x:c r="K109" s="57" t="n">
        <x:f>J109*'Hypothèses &amp; sources'!$E$4</x:f>
        <x:v>10.3</x:v>
      </x:c>
      <x:c r="L109" s="57" t="n">
        <x:f>J109*'Hypothèses &amp; sources'!$F$4</x:f>
        <x:v>10.918000000000001</x:v>
      </x:c>
      <x:c r="M109" s="57" t="n">
        <x:f>J109*'Hypothèses &amp; sources'!$G$4</x:f>
        <x:v>11.330000000000002</x:v>
      </x:c>
      <x:c r="N109" s="57" t="n">
        <x:f>J109*'Hypothèses &amp; sources'!$H$4</x:f>
        <x:v>11.433000000000002</x:v>
      </x:c>
      <x:c r="O109" s="57" t="n">
        <x:f>J109*'Hypothèses &amp; sources'!$I$4</x:f>
        <x:v>12.772</x:v>
      </x:c>
      <x:c r="P109" s="57" t="str">
        <x:v>Lidl</x:v>
      </x:c>
      <x:c r="Q109" s="57" t="n">
        <x:f>IF(P109="Lidl",K109,IF(P109="Super U",L109,IF(P109="Carrefour",M109,IF(P109="Auchan",N109,O109))))</x:f>
        <x:v>10.3</x:v>
      </x:c>
      <x:c r="R109" s="57" t="n">
        <x:f>Q109/'Hypothèses &amp; sources'!$B$4</x:f>
        <x:v>2.575</x:v>
      </x:c>
      <x:c r="S109" s="56" t="n">
        <x:f>MAX(0,'Hypothèses &amp; sources'!$B$5*MAX(0,MIN(100,'Hypothèses &amp; sources'!$B$10-R109*'Hypothèses &amp; sources'!$B$9))+'Hypothèses &amp; sources'!$B$6*(G109/5*100)+'Hypothèses &amp; sources'!$B$7*(H109/5*100)+'Hypothèses &amp; sources'!$B$8*MAX(0,MIN(100,'Hypothèses &amp; sources'!$B$12-E109*'Hypothèses &amp; sources'!$B$11))-T109)</x:f>
        <x:v>75.582</x:v>
      </x:c>
      <x:c r="T109" s="33" t="n">
        <x:v>0</x:v>
      </x:c>
    </x:row>
    <x:row r="110">
      <x:c r="A110" s="33" t="n">
        <x:v>106</x:v>
      </x:c>
      <x:c r="B110" s="38" t="str">
        <x:v>Perfectly simple white rice</x:v>
      </x:c>
      <x:c r="C110" s="38" t="str">
        <x:v>Riz / accompagnement</x:v>
      </x:c>
      <x:c r="D110" s="38" t="str">
        <x:v>riz blanc, eau, sel</x:v>
      </x:c>
      <x:c r="E110" s="33" t="n">
        <x:v>5</x:v>
      </x:c>
      <x:c r="F110" s="33" t="n">
        <x:v>20</x:v>
      </x:c>
      <x:c r="G110" s="56" t="n">
        <x:v>3.5</x:v>
      </x:c>
      <x:c r="H110" s="56" t="n">
        <x:v>2.8</x:v>
      </x:c>
      <x:c r="I110" s="33" t="n">
        <x:v>0</x:v>
      </x:c>
      <x:c r="J110" s="57" t="n">
        <x:v>1.8</x:v>
      </x:c>
      <x:c r="K110" s="57" t="n">
        <x:f>J110*'Hypothèses &amp; sources'!$E$4</x:f>
        <x:v>1.8</x:v>
      </x:c>
      <x:c r="L110" s="57" t="n">
        <x:f>J110*'Hypothèses &amp; sources'!$F$4</x:f>
        <x:v>1.9080000000000001</x:v>
      </x:c>
      <x:c r="M110" s="57" t="n">
        <x:f>J110*'Hypothèses &amp; sources'!$G$4</x:f>
        <x:v>1.9800000000000002</x:v>
      </x:c>
      <x:c r="N110" s="57" t="n">
        <x:f>J110*'Hypothèses &amp; sources'!$H$4</x:f>
        <x:v>1.9980000000000002</x:v>
      </x:c>
      <x:c r="O110" s="57" t="n">
        <x:f>J110*'Hypothèses &amp; sources'!$I$4</x:f>
        <x:v>2.232</x:v>
      </x:c>
      <x:c r="P110" s="57" t="str">
        <x:v>Lidl</x:v>
      </x:c>
      <x:c r="Q110" s="57" t="n">
        <x:f>IF(P110="Lidl",K110,IF(P110="Super U",L110,IF(P110="Carrefour",M110,IF(P110="Auchan",N110,O110))))</x:f>
        <x:v>1.8</x:v>
      </x:c>
      <x:c r="R110" s="57" t="n">
        <x:f>Q110/'Hypothèses &amp; sources'!$B$4</x:f>
        <x:v>0.45</x:v>
      </x:c>
      <x:c r="S110" s="56" t="n">
        <x:f>MAX(0,'Hypothèses &amp; sources'!$B$5*MAX(0,MIN(100,'Hypothèses &amp; sources'!$B$10-R110*'Hypothèses &amp; sources'!$B$9))+'Hypothèses &amp; sources'!$B$6*(G110/5*100)+'Hypothèses &amp; sources'!$B$7*(H110/5*100)+'Hypothèses &amp; sources'!$B$8*MAX(0,MIN(100,'Hypothèses &amp; sources'!$B$12-E110*'Hypothèses &amp; sources'!$B$11))-T110)</x:f>
        <x:v>75.56</x:v>
      </x:c>
      <x:c r="T110" s="33" t="n">
        <x:v>8</x:v>
      </x:c>
    </x:row>
    <x:row r="111">
      <x:c r="A111" s="33" t="n">
        <x:v>107</x:v>
      </x:c>
      <x:c r="B111" s="38" t="str">
        <x:v>Steamed ribs with glutinous rice</x:v>
      </x:c>
      <x:c r="C111" s="38" t="str">
        <x:v>Porc / riz</x:v>
      </x:c>
      <x:c r="D111" s="38" t="str">
        <x:v>travers de porc, riz gluant, sauce soja, gingembre, ciboule</x:v>
      </x:c>
      <x:c r="E111" s="33" t="n">
        <x:v>20</x:v>
      </x:c>
      <x:c r="F111" s="33" t="n">
        <x:v>60</x:v>
      </x:c>
      <x:c r="G111" s="56" t="n">
        <x:v>4.8</x:v>
      </x:c>
      <x:c r="H111" s="56" t="n">
        <x:v>3.3</x:v>
      </x:c>
      <x:c r="I111" s="33" t="n">
        <x:v>2</x:v>
      </x:c>
      <x:c r="J111" s="57" t="n">
        <x:v>12.5</x:v>
      </x:c>
      <x:c r="K111" s="57" t="n">
        <x:f>J111*'Hypothèses &amp; sources'!$E$4</x:f>
        <x:v>12.5</x:v>
      </x:c>
      <x:c r="L111" s="57" t="n">
        <x:f>J111*'Hypothèses &amp; sources'!$F$4</x:f>
        <x:v>13.25</x:v>
      </x:c>
      <x:c r="M111" s="57" t="n">
        <x:f>J111*'Hypothèses &amp; sources'!$G$4</x:f>
        <x:v>13.750000000000002</x:v>
      </x:c>
      <x:c r="N111" s="57" t="n">
        <x:f>J111*'Hypothèses &amp; sources'!$H$4</x:f>
        <x:v>13.875000000000002</x:v>
      </x:c>
      <x:c r="O111" s="57" t="n">
        <x:f>J111*'Hypothèses &amp; sources'!$I$4</x:f>
        <x:v>15.5</x:v>
      </x:c>
      <x:c r="P111" s="57" t="str">
        <x:v>Carrefour</x:v>
      </x:c>
      <x:c r="Q111" s="57" t="n">
        <x:f>IF(P111="Lidl",K111,IF(P111="Super U",L111,IF(P111="Carrefour",M111,IF(P111="Auchan",N111,O111))))</x:f>
        <x:v>13.750000000000002</x:v>
      </x:c>
      <x:c r="R111" s="57" t="n">
        <x:f>Q111/'Hypothèses &amp; sources'!$B$4</x:f>
        <x:v>3.4375000000000004</x:v>
      </x:c>
      <x:c r="S111" s="56" t="n">
        <x:f>MAX(0,'Hypothèses &amp; sources'!$B$5*MAX(0,MIN(100,'Hypothèses &amp; sources'!$B$10-R111*'Hypothèses &amp; sources'!$B$9))+'Hypothèses &amp; sources'!$B$6*(G111/5*100)+'Hypothèses &amp; sources'!$B$7*(H111/5*100)+'Hypothèses &amp; sources'!$B$8*MAX(0,MIN(100,'Hypothèses &amp; sources'!$B$12-E111*'Hypothèses &amp; sources'!$B$11))-T111)</x:f>
        <x:v>75.555</x:v>
      </x:c>
      <x:c r="T111" s="33" t="n">
        <x:v>0</x:v>
      </x:c>
    </x:row>
    <x:row r="112">
      <x:c r="A112" s="33" t="n">
        <x:v>108</x:v>
      </x:c>
      <x:c r="B112" s="38" t="str">
        <x:v>Chicken alfredo with jar sauce</x:v>
      </x:c>
      <x:c r="C112" s="38" t="str">
        <x:v>Plat complet</x:v>
      </x:c>
      <x:c r="D112" s="38" t="str">
        <x:v>pâtes / nouilles, poulet, crème / fromage, sauce Alfredo en bocal</x:v>
      </x:c>
      <x:c r="E112" s="33" t="n">
        <x:v>20</x:v>
      </x:c>
      <x:c r="F112" s="33" t="n">
        <x:v>40</x:v>
      </x:c>
      <x:c r="G112" s="56" t="n">
        <x:v>4.5</x:v>
      </x:c>
      <x:c r="H112" s="56" t="n">
        <x:v>3.4</x:v>
      </x:c>
      <x:c r="I112" s="33" t="n">
        <x:v>0</x:v>
      </x:c>
      <x:c r="J112" s="57" t="n">
        <x:v>13.1</x:v>
      </x:c>
      <x:c r="K112" s="57" t="n">
        <x:f>J112*'Hypothèses &amp; sources'!$E$4</x:f>
        <x:v>13.1</x:v>
      </x:c>
      <x:c r="L112" s="57" t="n">
        <x:f>J112*'Hypothèses &amp; sources'!$F$4</x:f>
        <x:v>13.886000000000001</x:v>
      </x:c>
      <x:c r="M112" s="57" t="n">
        <x:f>J112*'Hypothèses &amp; sources'!$G$4</x:f>
        <x:v>14.41</x:v>
      </x:c>
      <x:c r="N112" s="57" t="n">
        <x:f>J112*'Hypothèses &amp; sources'!$H$4</x:f>
        <x:v>14.541</x:v>
      </x:c>
      <x:c r="O112" s="57" t="n">
        <x:f>J112*'Hypothèses &amp; sources'!$I$4</x:f>
        <x:v>16.244</x:v>
      </x:c>
      <x:c r="P112" s="57" t="str">
        <x:v>Lidl</x:v>
      </x:c>
      <x:c r="Q112" s="57" t="n">
        <x:f>IF(P112="Lidl",K112,IF(P112="Super U",L112,IF(P112="Carrefour",M112,IF(P112="Auchan",N112,O112))))</x:f>
        <x:v>13.1</x:v>
      </x:c>
      <x:c r="R112" s="57" t="n">
        <x:f>Q112/'Hypothèses &amp; sources'!$B$4</x:f>
        <x:v>3.275</x:v>
      </x:c>
      <x:c r="S112" s="56" t="n">
        <x:f>MAX(0,'Hypothèses &amp; sources'!$B$5*MAX(0,MIN(100,'Hypothèses &amp; sources'!$B$10-R112*'Hypothèses &amp; sources'!$B$9))+'Hypothèses &amp; sources'!$B$6*(G112/5*100)+'Hypothèses &amp; sources'!$B$7*(H112/5*100)+'Hypothèses &amp; sources'!$B$8*MAX(0,MIN(100,'Hypothèses &amp; sources'!$B$12-E112*'Hypothèses &amp; sources'!$B$11))-T112)</x:f>
        <x:v>75.054</x:v>
      </x:c>
      <x:c r="T112" s="33" t="n">
        <x:v>0</x:v>
      </x:c>
    </x:row>
    <x:row r="113">
      <x:c r="A113" s="33" t="n">
        <x:v>109</x:v>
      </x:c>
      <x:c r="B113" s="38" t="str">
        <x:v>Beef stew with mushrooms and barley</x:v>
      </x:c>
      <x:c r="C113" s="38" t="str">
        <x:v>Mijoté / bœuf</x:v>
      </x:c>
      <x:c r="D113" s="38" t="str">
        <x:v>bœuf à mijoter, orge perlé, champignons, carottes, oignon, bouillon</x:v>
      </x:c>
      <x:c r="E113" s="33" t="n">
        <x:v>25</x:v>
      </x:c>
      <x:c r="F113" s="33" t="n">
        <x:v>75</x:v>
      </x:c>
      <x:c r="G113" s="56" t="n">
        <x:v>5</x:v>
      </x:c>
      <x:c r="H113" s="56" t="n">
        <x:v>4.3</x:v>
      </x:c>
      <x:c r="I113" s="33" t="n">
        <x:v>1</x:v>
      </x:c>
      <x:c r="J113" s="57" t="n">
        <x:v>16</x:v>
      </x:c>
      <x:c r="K113" s="57" t="n">
        <x:f>J113*'Hypothèses &amp; sources'!$E$4</x:f>
        <x:v>16</x:v>
      </x:c>
      <x:c r="L113" s="57" t="n">
        <x:f>J113*'Hypothèses &amp; sources'!$F$4</x:f>
        <x:v>16.96</x:v>
      </x:c>
      <x:c r="M113" s="57" t="n">
        <x:f>J113*'Hypothèses &amp; sources'!$G$4</x:f>
        <x:v>17.6</x:v>
      </x:c>
      <x:c r="N113" s="57" t="n">
        <x:f>J113*'Hypothèses &amp; sources'!$H$4</x:f>
        <x:v>17.76</x:v>
      </x:c>
      <x:c r="O113" s="57" t="n">
        <x:f>J113*'Hypothèses &amp; sources'!$I$4</x:f>
        <x:v>19.84</x:v>
      </x:c>
      <x:c r="P113" s="57" t="str">
        <x:v>Super U</x:v>
      </x:c>
      <x:c r="Q113" s="57" t="n">
        <x:f>IF(P113="Lidl",K113,IF(P113="Super U",L113,IF(P113="Carrefour",M113,IF(P113="Auchan",N113,O113))))</x:f>
        <x:v>16.96</x:v>
      </x:c>
      <x:c r="R113" s="57" t="n">
        <x:f>Q113/'Hypothèses &amp; sources'!$B$4</x:f>
        <x:v>4.24</x:v>
      </x:c>
      <x:c r="S113" s="56" t="n">
        <x:f>MAX(0,'Hypothèses &amp; sources'!$B$5*MAX(0,MIN(100,'Hypothèses &amp; sources'!$B$10-R113*'Hypothèses &amp; sources'!$B$9))+'Hypothèses &amp; sources'!$B$6*(G113/5*100)+'Hypothèses &amp; sources'!$B$7*(H113/5*100)+'Hypothèses &amp; sources'!$B$8*MAX(0,MIN(100,'Hypothèses &amp; sources'!$B$12-E113*'Hypothèses &amp; sources'!$B$11))-T113)</x:f>
        <x:v>74.9104</x:v>
      </x:c>
      <x:c r="T113" s="33" t="n">
        <x:v>0</x:v>
      </x:c>
    </x:row>
    <x:row r="114">
      <x:c r="A114" s="33" t="n">
        <x:v>110</x:v>
      </x:c>
      <x:c r="B114" s="38" t="str">
        <x:v>Filet mignon de porc balsamique</x:v>
      </x:c>
      <x:c r="C114" s="38" t="str">
        <x:v>Plat complet</x:v>
      </x:c>
      <x:c r="D114" s="38" t="str">
        <x:v>filet mignon de porc</x:v>
      </x:c>
      <x:c r="E114" s="33" t="n">
        <x:v>20</x:v>
      </x:c>
      <x:c r="F114" s="33" t="n">
        <x:v>40</x:v>
      </x:c>
      <x:c r="G114" s="56" t="n">
        <x:v>3.9</x:v>
      </x:c>
      <x:c r="H114" s="56" t="n">
        <x:v>3.1</x:v>
      </x:c>
      <x:c r="I114" s="33" t="n">
        <x:v>0</x:v>
      </x:c>
      <x:c r="J114" s="57" t="n">
        <x:v>9.9</x:v>
      </x:c>
      <x:c r="K114" s="57" t="n">
        <x:f>J114*'Hypothèses &amp; sources'!$E$4</x:f>
        <x:v>9.9</x:v>
      </x:c>
      <x:c r="L114" s="57" t="n">
        <x:f>J114*'Hypothèses &amp; sources'!$F$4</x:f>
        <x:v>10.494000000000002</x:v>
      </x:c>
      <x:c r="M114" s="57" t="n">
        <x:f>J114*'Hypothèses &amp; sources'!$G$4</x:f>
        <x:v>10.89</x:v>
      </x:c>
      <x:c r="N114" s="57" t="n">
        <x:f>J114*'Hypothèses &amp; sources'!$H$4</x:f>
        <x:v>10.989</x:v>
      </x:c>
      <x:c r="O114" s="57" t="n">
        <x:f>J114*'Hypothèses &amp; sources'!$I$4</x:f>
        <x:v>12.276</x:v>
      </x:c>
      <x:c r="P114" s="57" t="str">
        <x:v>Lidl</x:v>
      </x:c>
      <x:c r="Q114" s="57" t="n">
        <x:f>IF(P114="Lidl",K114,IF(P114="Super U",L114,IF(P114="Carrefour",M114,IF(P114="Auchan",N114,O114))))</x:f>
        <x:v>9.9</x:v>
      </x:c>
      <x:c r="R114" s="57" t="n">
        <x:f>Q114/'Hypothèses &amp; sources'!$B$4</x:f>
        <x:v>2.475</x:v>
      </x:c>
      <x:c r="S114" s="56" t="n">
        <x:f>MAX(0,'Hypothèses &amp; sources'!$B$5*MAX(0,MIN(100,'Hypothèses &amp; sources'!$B$10-R114*'Hypothèses &amp; sources'!$B$9))+'Hypothèses &amp; sources'!$B$6*(G114/5*100)+'Hypothèses &amp; sources'!$B$7*(H114/5*100)+'Hypothèses &amp; sources'!$B$8*MAX(0,MIN(100,'Hypothèses &amp; sources'!$B$12-E114*'Hypothèses &amp; sources'!$B$11))-T114)</x:f>
        <x:v>74.646</x:v>
      </x:c>
      <x:c r="T114" s="33" t="n">
        <x:v>0</x:v>
      </x:c>
    </x:row>
    <x:row r="115">
      <x:c r="A115" s="33" t="n">
        <x:v>111</x:v>
      </x:c>
      <x:c r="B115" s="38" t="str">
        <x:v>Homestyle buttery mashed potatoes</x:v>
      </x:c>
      <x:c r="C115" s="38" t="str">
        <x:v>Accompagnement</x:v>
      </x:c>
      <x:c r="D115" s="38" t="str">
        <x:v>pommes de terre, lait, beurre, sel, poivre</x:v>
      </x:c>
      <x:c r="E115" s="33" t="n">
        <x:v>15</x:v>
      </x:c>
      <x:c r="F115" s="33" t="n">
        <x:v>30</x:v>
      </x:c>
      <x:c r="G115" s="56" t="n">
        <x:v>4</x:v>
      </x:c>
      <x:c r="H115" s="56" t="n">
        <x:v>2.8</x:v>
      </x:c>
      <x:c r="I115" s="33" t="n">
        <x:v>0</x:v>
      </x:c>
      <x:c r="J115" s="57" t="n">
        <x:v>4.2</x:v>
      </x:c>
      <x:c r="K115" s="57" t="n">
        <x:f>J115*'Hypothèses &amp; sources'!$E$4</x:f>
        <x:v>4.2</x:v>
      </x:c>
      <x:c r="L115" s="57" t="n">
        <x:f>J115*'Hypothèses &amp; sources'!$F$4</x:f>
        <x:v>4.452000000000001</x:v>
      </x:c>
      <x:c r="M115" s="57" t="n">
        <x:f>J115*'Hypothèses &amp; sources'!$G$4</x:f>
        <x:v>4.620000000000001</x:v>
      </x:c>
      <x:c r="N115" s="57" t="n">
        <x:f>J115*'Hypothèses &amp; sources'!$H$4</x:f>
        <x:v>4.662000000000001</x:v>
      </x:c>
      <x:c r="O115" s="57" t="n">
        <x:f>J115*'Hypothèses &amp; sources'!$I$4</x:f>
        <x:v>5.208</x:v>
      </x:c>
      <x:c r="P115" s="57" t="str">
        <x:v>Lidl</x:v>
      </x:c>
      <x:c r="Q115" s="57" t="n">
        <x:f>IF(P115="Lidl",K115,IF(P115="Super U",L115,IF(P115="Carrefour",M115,IF(P115="Auchan",N115,O115))))</x:f>
        <x:v>4.2</x:v>
      </x:c>
      <x:c r="R115" s="57" t="n">
        <x:f>Q115/'Hypothèses &amp; sources'!$B$4</x:f>
        <x:v>1.05</x:v>
      </x:c>
      <x:c r="S115" s="56" t="n">
        <x:f>MAX(0,'Hypothèses &amp; sources'!$B$5*MAX(0,MIN(100,'Hypothèses &amp; sources'!$B$10-R115*'Hypothèses &amp; sources'!$B$9))+'Hypothèses &amp; sources'!$B$6*(G115/5*100)+'Hypothèses &amp; sources'!$B$7*(H115/5*100)+'Hypothèses &amp; sources'!$B$8*MAX(0,MIN(100,'Hypothèses &amp; sources'!$B$12-E115*'Hypothèses &amp; sources'!$B$11))-T115)</x:f>
        <x:v>74.628</x:v>
      </x:c>
      <x:c r="T115" s="33" t="n">
        <x:v>8</x:v>
      </x:c>
    </x:row>
    <x:row r="116">
      <x:c r="A116" s="33" t="n">
        <x:v>112</x:v>
      </x:c>
      <x:c r="B116" s="38" t="str">
        <x:v>Pates au poulet tikka masala</x:v>
      </x:c>
      <x:c r="C116" s="38" t="str">
        <x:v>Curry / cuisine épicée</x:v>
      </x:c>
      <x:c r="D116" s="38" t="str">
        <x:v>oignon, ail, gingembre, épices, pâtes / nouilles, poulet, légumes</x:v>
      </x:c>
      <x:c r="E116" s="33" t="n">
        <x:v>25</x:v>
      </x:c>
      <x:c r="F116" s="33" t="n">
        <x:v>55</x:v>
      </x:c>
      <x:c r="G116" s="56" t="n">
        <x:v>4.2</x:v>
      </x:c>
      <x:c r="H116" s="56" t="n">
        <x:v>3.7</x:v>
      </x:c>
      <x:c r="I116" s="33" t="n">
        <x:v>1</x:v>
      </x:c>
      <x:c r="J116" s="57" t="n">
        <x:v>11.4</x:v>
      </x:c>
      <x:c r="K116" s="57" t="n">
        <x:f>J116*'Hypothèses &amp; sources'!$E$4</x:f>
        <x:v>11.4</x:v>
      </x:c>
      <x:c r="L116" s="57" t="n">
        <x:f>J116*'Hypothèses &amp; sources'!$F$4</x:f>
        <x:v>12.084000000000001</x:v>
      </x:c>
      <x:c r="M116" s="57" t="n">
        <x:f>J116*'Hypothèses &amp; sources'!$G$4</x:f>
        <x:v>12.540000000000001</x:v>
      </x:c>
      <x:c r="N116" s="57" t="n">
        <x:f>J116*'Hypothèses &amp; sources'!$H$4</x:f>
        <x:v>12.654000000000002</x:v>
      </x:c>
      <x:c r="O116" s="57" t="n">
        <x:f>J116*'Hypothèses &amp; sources'!$I$4</x:f>
        <x:v>14.136000000000001</x:v>
      </x:c>
      <x:c r="P116" s="57" t="str">
        <x:v>Super U</x:v>
      </x:c>
      <x:c r="Q116" s="57" t="n">
        <x:f>IF(P116="Lidl",K116,IF(P116="Super U",L116,IF(P116="Carrefour",M116,IF(P116="Auchan",N116,O116))))</x:f>
        <x:v>12.084000000000001</x:v>
      </x:c>
      <x:c r="R116" s="57" t="n">
        <x:f>Q116/'Hypothèses &amp; sources'!$B$4</x:f>
        <x:v>3.0210000000000004</x:v>
      </x:c>
      <x:c r="S116" s="56" t="n">
        <x:f>MAX(0,'Hypothèses &amp; sources'!$B$5*MAX(0,MIN(100,'Hypothèses &amp; sources'!$B$10-R116*'Hypothèses &amp; sources'!$B$9))+'Hypothèses &amp; sources'!$B$6*(G116/5*100)+'Hypothèses &amp; sources'!$B$7*(H116/5*100)+'Hypothèses &amp; sources'!$B$8*MAX(0,MIN(100,'Hypothèses &amp; sources'!$B$12-E116*'Hypothèses &amp; sources'!$B$11))-T116)</x:f>
        <x:v>74.41416</x:v>
      </x:c>
      <x:c r="T116" s="33" t="n">
        <x:v>0</x:v>
      </x:c>
    </x:row>
    <x:row r="117">
      <x:c r="A117" s="33" t="n">
        <x:v>113</x:v>
      </x:c>
      <x:c r="B117" s="38" t="str">
        <x:v>Best-ever Italian meatballs</x:v>
      </x:c>
      <x:c r="C117" s="38" t="str">
        <x:v>Plat de viande</x:v>
      </x:c>
      <x:c r="D117" s="38" t="str">
        <x:v>bœuf et porc hachés, œuf, chapelure, parmesan, sauce tomate</x:v>
      </x:c>
      <x:c r="E117" s="33" t="n">
        <x:v>25</x:v>
      </x:c>
      <x:c r="F117" s="33" t="n">
        <x:v>45</x:v>
      </x:c>
      <x:c r="G117" s="56" t="n">
        <x:v>4.5</x:v>
      </x:c>
      <x:c r="H117" s="56" t="n">
        <x:v>3.2</x:v>
      </x:c>
      <x:c r="I117" s="33" t="n">
        <x:v>0</x:v>
      </x:c>
      <x:c r="J117" s="57" t="n">
        <x:v>12</x:v>
      </x:c>
      <x:c r="K117" s="57" t="n">
        <x:f>J117*'Hypothèses &amp; sources'!$E$4</x:f>
        <x:v>12</x:v>
      </x:c>
      <x:c r="L117" s="57" t="n">
        <x:f>J117*'Hypothèses &amp; sources'!$F$4</x:f>
        <x:v>12.72</x:v>
      </x:c>
      <x:c r="M117" s="57" t="n">
        <x:f>J117*'Hypothèses &amp; sources'!$G$4</x:f>
        <x:v>13.200000000000001</x:v>
      </x:c>
      <x:c r="N117" s="57" t="n">
        <x:f>J117*'Hypothèses &amp; sources'!$H$4</x:f>
        <x:v>13.32</x:v>
      </x:c>
      <x:c r="O117" s="57" t="n">
        <x:f>J117*'Hypothèses &amp; sources'!$I$4</x:f>
        <x:v>14.879999999999999</x:v>
      </x:c>
      <x:c r="P117" s="57" t="str">
        <x:v>Lidl</x:v>
      </x:c>
      <x:c r="Q117" s="57" t="n">
        <x:f>IF(P117="Lidl",K117,IF(P117="Super U",L117,IF(P117="Carrefour",M117,IF(P117="Auchan",N117,O117))))</x:f>
        <x:v>12</x:v>
      </x:c>
      <x:c r="R117" s="57" t="n">
        <x:f>Q117/'Hypothèses &amp; sources'!$B$4</x:f>
        <x:v>3</x:v>
      </x:c>
      <x:c r="S117" s="56" t="n">
        <x:f>MAX(0,'Hypothèses &amp; sources'!$B$5*MAX(0,MIN(100,'Hypothèses &amp; sources'!$B$10-R117*'Hypothèses &amp; sources'!$B$9))+'Hypothèses &amp; sources'!$B$6*(G117/5*100)+'Hypothèses &amp; sources'!$B$7*(H117/5*100)+'Hypothèses &amp; sources'!$B$8*MAX(0,MIN(100,'Hypothèses &amp; sources'!$B$12-E117*'Hypothèses &amp; sources'!$B$11))-T117)</x:f>
        <x:v>74.39999999999999</x:v>
      </x:c>
      <x:c r="T117" s="33" t="n">
        <x:v>0</x:v>
      </x:c>
    </x:row>
    <x:row r="118">
      <x:c r="A118" s="33" t="n">
        <x:v>114</x:v>
      </x:c>
      <x:c r="B118" s="38" t="str">
        <x:v>Copie conforme du riz pilaf du moyen-orient</x:v>
      </x:c>
      <x:c r="C118" s="38" t="str">
        <x:v>Riz / accompagnement</x:v>
      </x:c>
      <x:c r="D118" s="38" t="str">
        <x:v>riz, vermicelles, oignon, bouillon, beurre, épices</x:v>
      </x:c>
      <x:c r="E118" s="33" t="n">
        <x:v>15</x:v>
      </x:c>
      <x:c r="F118" s="33" t="n">
        <x:v>30</x:v>
      </x:c>
      <x:c r="G118" s="56" t="n">
        <x:v>3.7</x:v>
      </x:c>
      <x:c r="H118" s="56" t="n">
        <x:v>3.4</x:v>
      </x:c>
      <x:c r="I118" s="33" t="n">
        <x:v>0</x:v>
      </x:c>
      <x:c r="J118" s="57" t="n">
        <x:v>4.8</x:v>
      </x:c>
      <x:c r="K118" s="57" t="n">
        <x:f>J118*'Hypothèses &amp; sources'!$E$4</x:f>
        <x:v>4.8</x:v>
      </x:c>
      <x:c r="L118" s="57" t="n">
        <x:f>J118*'Hypothèses &amp; sources'!$F$4</x:f>
        <x:v>5.088</x:v>
      </x:c>
      <x:c r="M118" s="57" t="n">
        <x:f>J118*'Hypothèses &amp; sources'!$G$4</x:f>
        <x:v>5.28</x:v>
      </x:c>
      <x:c r="N118" s="57" t="n">
        <x:f>J118*'Hypothèses &amp; sources'!$H$4</x:f>
        <x:v>5.328</x:v>
      </x:c>
      <x:c r="O118" s="57" t="n">
        <x:f>J118*'Hypothèses &amp; sources'!$I$4</x:f>
        <x:v>5.952</x:v>
      </x:c>
      <x:c r="P118" s="57" t="str">
        <x:v>Lidl</x:v>
      </x:c>
      <x:c r="Q118" s="57" t="n">
        <x:f>IF(P118="Lidl",K118,IF(P118="Super U",L118,IF(P118="Carrefour",M118,IF(P118="Auchan",N118,O118))))</x:f>
        <x:v>4.8</x:v>
      </x:c>
      <x:c r="R118" s="57" t="n">
        <x:f>Q118/'Hypothèses &amp; sources'!$B$4</x:f>
        <x:v>1.2</x:v>
      </x:c>
      <x:c r="S118" s="56" t="n">
        <x:f>MAX(0,'Hypothèses &amp; sources'!$B$5*MAX(0,MIN(100,'Hypothèses &amp; sources'!$B$10-R118*'Hypothèses &amp; sources'!$B$9))+'Hypothèses &amp; sources'!$B$6*(G118/5*100)+'Hypothèses &amp; sources'!$B$7*(H118/5*100)+'Hypothèses &amp; sources'!$B$8*MAX(0,MIN(100,'Hypothèses &amp; sources'!$B$12-E118*'Hypothèses &amp; sources'!$B$11))-T118)</x:f>
        <x:v>74.35199999999999</x:v>
      </x:c>
      <x:c r="T118" s="33" t="n">
        <x:v>8</x:v>
      </x:c>
    </x:row>
    <x:row r="119">
      <x:c r="A119" s="33" t="n">
        <x:v>115</x:v>
      </x:c>
      <x:c r="B119" s="38" t="str">
        <x:v>Poulet braisé au cidre et à la moutarde français</x:v>
      </x:c>
      <x:c r="C119" s="38" t="str">
        <x:v>Mijoté / curry</x:v>
      </x:c>
      <x:c r="D119" s="38" t="str">
        <x:v>oignon, bouillon, épices, poulet, cidre, moutarde, légumes</x:v>
      </x:c>
      <x:c r="E119" s="33" t="n">
        <x:v>25</x:v>
      </x:c>
      <x:c r="F119" s="33" t="n">
        <x:v>75</x:v>
      </x:c>
      <x:c r="G119" s="56" t="n">
        <x:v>4.3</x:v>
      </x:c>
      <x:c r="H119" s="56" t="n">
        <x:v>3.7</x:v>
      </x:c>
      <x:c r="I119" s="33" t="n">
        <x:v>0</x:v>
      </x:c>
      <x:c r="J119" s="57" t="n">
        <x:v>12.6</x:v>
      </x:c>
      <x:c r="K119" s="57" t="n">
        <x:f>J119*'Hypothèses &amp; sources'!$E$4</x:f>
        <x:v>12.6</x:v>
      </x:c>
      <x:c r="L119" s="57" t="n">
        <x:f>J119*'Hypothèses &amp; sources'!$F$4</x:f>
        <x:v>13.356</x:v>
      </x:c>
      <x:c r="M119" s="57" t="n">
        <x:f>J119*'Hypothèses &amp; sources'!$G$4</x:f>
        <x:v>13.860000000000001</x:v>
      </x:c>
      <x:c r="N119" s="57" t="n">
        <x:f>J119*'Hypothèses &amp; sources'!$H$4</x:f>
        <x:v>13.986</x:v>
      </x:c>
      <x:c r="O119" s="57" t="n">
        <x:f>J119*'Hypothèses &amp; sources'!$I$4</x:f>
        <x:v>15.623999999999999</x:v>
      </x:c>
      <x:c r="P119" s="57" t="str">
        <x:v>Lidl</x:v>
      </x:c>
      <x:c r="Q119" s="57" t="n">
        <x:f>IF(P119="Lidl",K119,IF(P119="Super U",L119,IF(P119="Carrefour",M119,IF(P119="Auchan",N119,O119))))</x:f>
        <x:v>12.6</x:v>
      </x:c>
      <x:c r="R119" s="57" t="n">
        <x:f>Q119/'Hypothèses &amp; sources'!$B$4</x:f>
        <x:v>3.15</x:v>
      </x:c>
      <x:c r="S119" s="56" t="n">
        <x:f>MAX(0,'Hypothèses &amp; sources'!$B$5*MAX(0,MIN(100,'Hypothèses &amp; sources'!$B$10-R119*'Hypothèses &amp; sources'!$B$9))+'Hypothèses &amp; sources'!$B$6*(G119/5*100)+'Hypothèses &amp; sources'!$B$7*(H119/5*100)+'Hypothèses &amp; sources'!$B$8*MAX(0,MIN(100,'Hypothèses &amp; sources'!$B$12-E119*'Hypothèses &amp; sources'!$B$11))-T119)</x:f>
        <x:v>74.324</x:v>
      </x:c>
      <x:c r="T119" s="33" t="n">
        <x:v>0</x:v>
      </x:c>
    </x:row>
    <x:row r="120">
      <x:c r="A120" s="33" t="n">
        <x:v>116</x:v>
      </x:c>
      <x:c r="B120" s="38" t="str">
        <x:v>Tarte au cheeseburger facile</x:v>
      </x:c>
      <x:c r="C120" s="38" t="str">
        <x:v>Tourte / viande</x:v>
      </x:c>
      <x:c r="D120" s="38" t="str">
        <x:v>bœuf haché, pâte, fromage, oignon, cornichons</x:v>
      </x:c>
      <x:c r="E120" s="33" t="n">
        <x:v>20</x:v>
      </x:c>
      <x:c r="F120" s="33" t="n">
        <x:v>50</x:v>
      </x:c>
      <x:c r="G120" s="56" t="n">
        <x:v>4.7</x:v>
      </x:c>
      <x:c r="H120" s="56" t="n">
        <x:v>2.8</x:v>
      </x:c>
      <x:c r="I120" s="33" t="n">
        <x:v>0</x:v>
      </x:c>
      <x:c r="J120" s="57" t="n">
        <x:v>13</x:v>
      </x:c>
      <x:c r="K120" s="57" t="n">
        <x:f>J120*'Hypothèses &amp; sources'!$E$4</x:f>
        <x:v>13</x:v>
      </x:c>
      <x:c r="L120" s="57" t="n">
        <x:f>J120*'Hypothèses &amp; sources'!$F$4</x:f>
        <x:v>13.780000000000001</x:v>
      </x:c>
      <x:c r="M120" s="57" t="n">
        <x:f>J120*'Hypothèses &amp; sources'!$G$4</x:f>
        <x:v>14.3</x:v>
      </x:c>
      <x:c r="N120" s="57" t="n">
        <x:f>J120*'Hypothèses &amp; sources'!$H$4</x:f>
        <x:v>14.430000000000001</x:v>
      </x:c>
      <x:c r="O120" s="57" t="n">
        <x:f>J120*'Hypothèses &amp; sources'!$I$4</x:f>
        <x:v>16.12</x:v>
      </x:c>
      <x:c r="P120" s="57" t="str">
        <x:v>Lidl</x:v>
      </x:c>
      <x:c r="Q120" s="57" t="n">
        <x:f>IF(P120="Lidl",K120,IF(P120="Super U",L120,IF(P120="Carrefour",M120,IF(P120="Auchan",N120,O120))))</x:f>
        <x:v>13</x:v>
      </x:c>
      <x:c r="R120" s="57" t="n">
        <x:f>Q120/'Hypothèses &amp; sources'!$B$4</x:f>
        <x:v>3.25</x:v>
      </x:c>
      <x:c r="S120" s="56" t="n">
        <x:f>MAX(0,'Hypothèses &amp; sources'!$B$5*MAX(0,MIN(100,'Hypothèses &amp; sources'!$B$10-R120*'Hypothèses &amp; sources'!$B$9))+'Hypothèses &amp; sources'!$B$6*(G120/5*100)+'Hypothèses &amp; sources'!$B$7*(H120/5*100)+'Hypothèses &amp; sources'!$B$8*MAX(0,MIN(100,'Hypothèses &amp; sources'!$B$12-E120*'Hypothèses &amp; sources'!$B$11))-T120)</x:f>
        <x:v>74.14</x:v>
      </x:c>
      <x:c r="T120" s="33" t="n">
        <x:v>0</x:v>
      </x:c>
    </x:row>
    <x:row r="121">
      <x:c r="A121" s="33" t="n">
        <x:v>117</x:v>
      </x:c>
      <x:c r="B121" s="38" t="str">
        <x:v>Riz jollof</x:v>
      </x:c>
      <x:c r="C121" s="38" t="str">
        <x:v>Riz / accompagnement</x:v>
      </x:c>
      <x:c r="D121" s="38" t="str">
        <x:v>riz, tomates, poivron, oignon, bouillon, épices</x:v>
      </x:c>
      <x:c r="E121" s="33" t="n">
        <x:v>20</x:v>
      </x:c>
      <x:c r="F121" s="33" t="n">
        <x:v>45</x:v>
      </x:c>
      <x:c r="G121" s="56" t="n">
        <x:v>3.8</x:v>
      </x:c>
      <x:c r="H121" s="56" t="n">
        <x:v>4</x:v>
      </x:c>
      <x:c r="I121" s="33" t="n">
        <x:v>1</x:v>
      </x:c>
      <x:c r="J121" s="57" t="n">
        <x:v>5.8</x:v>
      </x:c>
      <x:c r="K121" s="57" t="n">
        <x:f>J121*'Hypothèses &amp; sources'!$E$4</x:f>
        <x:v>5.8</x:v>
      </x:c>
      <x:c r="L121" s="57" t="n">
        <x:f>J121*'Hypothèses &amp; sources'!$F$4</x:f>
        <x:v>6.148</x:v>
      </x:c>
      <x:c r="M121" s="57" t="n">
        <x:f>J121*'Hypothèses &amp; sources'!$G$4</x:f>
        <x:v>6.38</x:v>
      </x:c>
      <x:c r="N121" s="57" t="n">
        <x:f>J121*'Hypothèses &amp; sources'!$H$4</x:f>
        <x:v>6.438000000000001</x:v>
      </x:c>
      <x:c r="O121" s="57" t="n">
        <x:f>J121*'Hypothèses &amp; sources'!$I$4</x:f>
        <x:v>7.192</x:v>
      </x:c>
      <x:c r="P121" s="57" t="str">
        <x:v>Super U</x:v>
      </x:c>
      <x:c r="Q121" s="57" t="n">
        <x:f>IF(P121="Lidl",K121,IF(P121="Super U",L121,IF(P121="Carrefour",M121,IF(P121="Auchan",N121,O121))))</x:f>
        <x:v>6.148</x:v>
      </x:c>
      <x:c r="R121" s="57" t="n">
        <x:f>Q121/'Hypothèses &amp; sources'!$B$4</x:f>
        <x:v>1.537</x:v>
      </x:c>
      <x:c r="S121" s="56" t="n">
        <x:f>MAX(0,'Hypothèses &amp; sources'!$B$5*MAX(0,MIN(100,'Hypothèses &amp; sources'!$B$10-R121*'Hypothèses &amp; sources'!$B$9))+'Hypothèses &amp; sources'!$B$6*(G121/5*100)+'Hypothèses &amp; sources'!$B$7*(H121/5*100)+'Hypothèses &amp; sources'!$B$8*MAX(0,MIN(100,'Hypothèses &amp; sources'!$B$12-E121*'Hypothèses &amp; sources'!$B$11))-T121)</x:f>
        <x:v>74.05352</x:v>
      </x:c>
      <x:c r="T121" s="33" t="n">
        <x:v>8</x:v>
      </x:c>
    </x:row>
    <x:row r="122">
      <x:c r="A122" s="33" t="n">
        <x:v>118</x:v>
      </x:c>
      <x:c r="B122" s="38" t="str">
        <x:v>Beef with haricots vert</x:v>
      </x:c>
      <x:c r="C122" s="38" t="str">
        <x:v>Plat complet</x:v>
      </x:c>
      <x:c r="D122" s="38" t="str">
        <x:v>légumineuses, haricots verts, bœuf à mijoter</x:v>
      </x:c>
      <x:c r="E122" s="33" t="n">
        <x:v>20</x:v>
      </x:c>
      <x:c r="F122" s="33" t="n">
        <x:v>40</x:v>
      </x:c>
      <x:c r="G122" s="56" t="n">
        <x:v>4.8</x:v>
      </x:c>
      <x:c r="H122" s="56" t="n">
        <x:v>3.6</x:v>
      </x:c>
      <x:c r="I122" s="33" t="n">
        <x:v>0</x:v>
      </x:c>
      <x:c r="J122" s="57" t="n">
        <x:v>15.8</x:v>
      </x:c>
      <x:c r="K122" s="57" t="n">
        <x:f>J122*'Hypothèses &amp; sources'!$E$4</x:f>
        <x:v>15.8</x:v>
      </x:c>
      <x:c r="L122" s="57" t="n">
        <x:f>J122*'Hypothèses &amp; sources'!$F$4</x:f>
        <x:v>16.748</x:v>
      </x:c>
      <x:c r="M122" s="57" t="n">
        <x:f>J122*'Hypothèses &amp; sources'!$G$4</x:f>
        <x:v>17.380000000000003</x:v>
      </x:c>
      <x:c r="N122" s="57" t="n">
        <x:f>J122*'Hypothèses &amp; sources'!$H$4</x:f>
        <x:v>17.538000000000004</x:v>
      </x:c>
      <x:c r="O122" s="57" t="n">
        <x:f>J122*'Hypothèses &amp; sources'!$I$4</x:f>
        <x:v>19.592000000000002</x:v>
      </x:c>
      <x:c r="P122" s="57" t="str">
        <x:v>Lidl</x:v>
      </x:c>
      <x:c r="Q122" s="57" t="n">
        <x:f>IF(P122="Lidl",K122,IF(P122="Super U",L122,IF(P122="Carrefour",M122,IF(P122="Auchan",N122,O122))))</x:f>
        <x:v>15.8</x:v>
      </x:c>
      <x:c r="R122" s="57" t="n">
        <x:f>Q122/'Hypothèses &amp; sources'!$B$4</x:f>
        <x:v>3.95</x:v>
      </x:c>
      <x:c r="S122" s="56" t="n">
        <x:f>MAX(0,'Hypothèses &amp; sources'!$B$5*MAX(0,MIN(100,'Hypothèses &amp; sources'!$B$10-R122*'Hypothèses &amp; sources'!$B$9))+'Hypothèses &amp; sources'!$B$6*(G122/5*100)+'Hypothèses &amp; sources'!$B$7*(H122/5*100)+'Hypothèses &amp; sources'!$B$8*MAX(0,MIN(100,'Hypothèses &amp; sources'!$B$12-E122*'Hypothèses &amp; sources'!$B$11))-T122)</x:f>
        <x:v>74.05199999999999</x:v>
      </x:c>
      <x:c r="T122" s="33" t="n">
        <x:v>0</x:v>
      </x:c>
    </x:row>
    <x:row r="123">
      <x:c r="A123" s="33" t="n">
        <x:v>119</x:v>
      </x:c>
      <x:c r="B123" s="38" t="str">
        <x:v>Country ribs</x:v>
      </x:c>
      <x:c r="C123" s="38" t="str">
        <x:v>Plat complet</x:v>
      </x:c>
      <x:c r="D123" s="38" t="str">
        <x:v>travers / ribs de porc</x:v>
      </x:c>
      <x:c r="E123" s="33" t="n">
        <x:v>20</x:v>
      </x:c>
      <x:c r="F123" s="33" t="n">
        <x:v>90</x:v>
      </x:c>
      <x:c r="G123" s="56" t="n">
        <x:v>3.9</x:v>
      </x:c>
      <x:c r="H123" s="56" t="n">
        <x:v>3.1</x:v>
      </x:c>
      <x:c r="I123" s="33" t="n">
        <x:v>0</x:v>
      </x:c>
      <x:c r="J123" s="57" t="n">
        <x:v>10.4</x:v>
      </x:c>
      <x:c r="K123" s="57" t="n">
        <x:f>J123*'Hypothèses &amp; sources'!$E$4</x:f>
        <x:v>10.4</x:v>
      </x:c>
      <x:c r="L123" s="57" t="n">
        <x:f>J123*'Hypothèses &amp; sources'!$F$4</x:f>
        <x:v>11.024000000000001</x:v>
      </x:c>
      <x:c r="M123" s="57" t="n">
        <x:f>J123*'Hypothèses &amp; sources'!$G$4</x:f>
        <x:v>11.440000000000001</x:v>
      </x:c>
      <x:c r="N123" s="57" t="n">
        <x:f>J123*'Hypothèses &amp; sources'!$H$4</x:f>
        <x:v>11.544000000000002</x:v>
      </x:c>
      <x:c r="O123" s="57" t="n">
        <x:f>J123*'Hypothèses &amp; sources'!$I$4</x:f>
        <x:v>12.896</x:v>
      </x:c>
      <x:c r="P123" s="57" t="str">
        <x:v>Lidl</x:v>
      </x:c>
      <x:c r="Q123" s="57" t="n">
        <x:f>IF(P123="Lidl",K123,IF(P123="Super U",L123,IF(P123="Carrefour",M123,IF(P123="Auchan",N123,O123))))</x:f>
        <x:v>10.4</x:v>
      </x:c>
      <x:c r="R123" s="57" t="n">
        <x:f>Q123/'Hypothèses &amp; sources'!$B$4</x:f>
        <x:v>2.6</x:v>
      </x:c>
      <x:c r="S123" s="56" t="n">
        <x:f>MAX(0,'Hypothèses &amp; sources'!$B$5*MAX(0,MIN(100,'Hypothèses &amp; sources'!$B$10-R123*'Hypothèses &amp; sources'!$B$9))+'Hypothèses &amp; sources'!$B$6*(G123/5*100)+'Hypothèses &amp; sources'!$B$7*(H123/5*100)+'Hypothèses &amp; sources'!$B$8*MAX(0,MIN(100,'Hypothèses &amp; sources'!$B$12-E123*'Hypothèses &amp; sources'!$B$11))-T123)</x:f>
        <x:v>74.016</x:v>
      </x:c>
      <x:c r="T123" s="33" t="n">
        <x:v>0</x:v>
      </x:c>
    </x:row>
    <x:row r="124">
      <x:c r="A124" s="33" t="n">
        <x:v>120</x:v>
      </x:c>
      <x:c r="B124" s="38" t="str">
        <x:v>Purée de citrouilles</x:v>
      </x:c>
      <x:c r="C124" s="38" t="str">
        <x:v>Accompagnement</x:v>
      </x:c>
      <x:c r="D124" s="38" t="str">
        <x:v>citrouille, beurre ou crème</x:v>
      </x:c>
      <x:c r="E124" s="33" t="n">
        <x:v>15</x:v>
      </x:c>
      <x:c r="F124" s="33" t="n">
        <x:v>35</x:v>
      </x:c>
      <x:c r="G124" s="56" t="n">
        <x:v>3.2</x:v>
      </x:c>
      <x:c r="H124" s="56" t="n">
        <x:v>3.8</x:v>
      </x:c>
      <x:c r="I124" s="33" t="n">
        <x:v>0</x:v>
      </x:c>
      <x:c r="J124" s="57" t="n">
        <x:v>4</x:v>
      </x:c>
      <x:c r="K124" s="57" t="n">
        <x:f>J124*'Hypothèses &amp; sources'!$E$4</x:f>
        <x:v>4</x:v>
      </x:c>
      <x:c r="L124" s="57" t="n">
        <x:f>J124*'Hypothèses &amp; sources'!$F$4</x:f>
        <x:v>4.24</x:v>
      </x:c>
      <x:c r="M124" s="57" t="n">
        <x:f>J124*'Hypothèses &amp; sources'!$G$4</x:f>
        <x:v>4.4</x:v>
      </x:c>
      <x:c r="N124" s="57" t="n">
        <x:f>J124*'Hypothèses &amp; sources'!$H$4</x:f>
        <x:v>4.44</x:v>
      </x:c>
      <x:c r="O124" s="57" t="n">
        <x:f>J124*'Hypothèses &amp; sources'!$I$4</x:f>
        <x:v>4.96</x:v>
      </x:c>
      <x:c r="P124" s="57" t="str">
        <x:v>Lidl</x:v>
      </x:c>
      <x:c r="Q124" s="57" t="n">
        <x:f>IF(P124="Lidl",K124,IF(P124="Super U",L124,IF(P124="Carrefour",M124,IF(P124="Auchan",N124,O124))))</x:f>
        <x:v>4</x:v>
      </x:c>
      <x:c r="R124" s="57" t="n">
        <x:f>Q124/'Hypothèses &amp; sources'!$B$4</x:f>
        <x:v>1</x:v>
      </x:c>
      <x:c r="S124" s="56" t="n">
        <x:f>MAX(0,'Hypothèses &amp; sources'!$B$5*MAX(0,MIN(100,'Hypothèses &amp; sources'!$B$10-R124*'Hypothèses &amp; sources'!$B$9))+'Hypothèses &amp; sources'!$B$6*(G124/5*100)+'Hypothèses &amp; sources'!$B$7*(H124/5*100)+'Hypothèses &amp; sources'!$B$8*MAX(0,MIN(100,'Hypothèses &amp; sources'!$B$12-E124*'Hypothèses &amp; sources'!$B$11))-T124)</x:f>
        <x:v>73.99999999999999</x:v>
      </x:c>
      <x:c r="T124" s="33" t="n">
        <x:v>8</x:v>
      </x:c>
    </x:row>
    <x:row r="125">
      <x:c r="A125" s="33" t="n">
        <x:v>121</x:v>
      </x:c>
      <x:c r="B125" s="38" t="str">
        <x:v>Ragout de chou et haricots au boeuf</x:v>
      </x:c>
      <x:c r="C125" s="38" t="str">
        <x:v>Mijoté / curry</x:v>
      </x:c>
      <x:c r="D125" s="38" t="str">
        <x:v>oignon, bouillon, épices, légumineuses, chou, bœuf à mijoter</x:v>
      </x:c>
      <x:c r="E125" s="33" t="n">
        <x:v>25</x:v>
      </x:c>
      <x:c r="F125" s="33" t="n">
        <x:v>75</x:v>
      </x:c>
      <x:c r="G125" s="56" t="n">
        <x:v>5</x:v>
      </x:c>
      <x:c r="H125" s="56" t="n">
        <x:v>4</x:v>
      </x:c>
      <x:c r="I125" s="33" t="n">
        <x:v>0</x:v>
      </x:c>
      <x:c r="J125" s="57" t="n">
        <x:v>16.9</x:v>
      </x:c>
      <x:c r="K125" s="57" t="n">
        <x:f>J125*'Hypothèses &amp; sources'!$E$4</x:f>
        <x:v>16.9</x:v>
      </x:c>
      <x:c r="L125" s="57" t="n">
        <x:f>J125*'Hypothèses &amp; sources'!$F$4</x:f>
        <x:v>17.913999999999998</x:v>
      </x:c>
      <x:c r="M125" s="57" t="n">
        <x:f>J125*'Hypothèses &amp; sources'!$G$4</x:f>
        <x:v>18.59</x:v>
      </x:c>
      <x:c r="N125" s="57" t="n">
        <x:f>J125*'Hypothèses &amp; sources'!$H$4</x:f>
        <x:v>18.759</x:v>
      </x:c>
      <x:c r="O125" s="57" t="n">
        <x:f>J125*'Hypothèses &amp; sources'!$I$4</x:f>
        <x:v>20.956</x:v>
      </x:c>
      <x:c r="P125" s="57" t="str">
        <x:v>Lidl</x:v>
      </x:c>
      <x:c r="Q125" s="57" t="n">
        <x:f>IF(P125="Lidl",K125,IF(P125="Super U",L125,IF(P125="Carrefour",M125,IF(P125="Auchan",N125,O125))))</x:f>
        <x:v>16.9</x:v>
      </x:c>
      <x:c r="R125" s="57" t="n">
        <x:f>Q125/'Hypothèses &amp; sources'!$B$4</x:f>
        <x:v>4.225</x:v>
      </x:c>
      <x:c r="S125" s="56" t="n">
        <x:f>MAX(0,'Hypothèses &amp; sources'!$B$5*MAX(0,MIN(100,'Hypothèses &amp; sources'!$B$10-R125*'Hypothèses &amp; sources'!$B$9))+'Hypothèses &amp; sources'!$B$6*(G125/5*100)+'Hypothèses &amp; sources'!$B$7*(H125/5*100)+'Hypothèses &amp; sources'!$B$8*MAX(0,MIN(100,'Hypothèses &amp; sources'!$B$12-E125*'Hypothèses &amp; sources'!$B$11))-T125)</x:f>
        <x:v>73.906</x:v>
      </x:c>
      <x:c r="T125" s="33" t="n">
        <x:v>0</x:v>
      </x:c>
    </x:row>
    <x:row r="126">
      <x:c r="A126" s="33" t="n">
        <x:v>122</x:v>
      </x:c>
      <x:c r="B126" s="38" t="str">
        <x:v>Saucisses et poivrons</x:v>
      </x:c>
      <x:c r="C126" s="38" t="str">
        <x:v>Plat complet</x:v>
      </x:c>
      <x:c r="D126" s="38" t="str">
        <x:v>poivrons, charcuterie / saucisse</x:v>
      </x:c>
      <x:c r="E126" s="33" t="n">
        <x:v>20</x:v>
      </x:c>
      <x:c r="F126" s="33" t="n">
        <x:v>40</x:v>
      </x:c>
      <x:c r="G126" s="56" t="n">
        <x:v>3.9</x:v>
      </x:c>
      <x:c r="H126" s="56" t="n">
        <x:v>2.7</x:v>
      </x:c>
      <x:c r="I126" s="33" t="n">
        <x:v>0</x:v>
      </x:c>
      <x:c r="J126" s="57" t="n">
        <x:v>9.4</x:v>
      </x:c>
      <x:c r="K126" s="57" t="n">
        <x:f>J126*'Hypothèses &amp; sources'!$E$4</x:f>
        <x:v>9.4</x:v>
      </x:c>
      <x:c r="L126" s="57" t="n">
        <x:f>J126*'Hypothèses &amp; sources'!$F$4</x:f>
        <x:v>9.964</x:v>
      </x:c>
      <x:c r="M126" s="57" t="n">
        <x:f>J126*'Hypothèses &amp; sources'!$G$4</x:f>
        <x:v>10.340000000000002</x:v>
      </x:c>
      <x:c r="N126" s="57" t="n">
        <x:f>J126*'Hypothèses &amp; sources'!$H$4</x:f>
        <x:v>10.434000000000001</x:v>
      </x:c>
      <x:c r="O126" s="57" t="n">
        <x:f>J126*'Hypothèses &amp; sources'!$I$4</x:f>
        <x:v>11.656</x:v>
      </x:c>
      <x:c r="P126" s="57" t="str">
        <x:v>Lidl</x:v>
      </x:c>
      <x:c r="Q126" s="57" t="n">
        <x:f>IF(P126="Lidl",K126,IF(P126="Super U",L126,IF(P126="Carrefour",M126,IF(P126="Auchan",N126,O126))))</x:f>
        <x:v>9.4</x:v>
      </x:c>
      <x:c r="R126" s="57" t="n">
        <x:f>Q126/'Hypothèses &amp; sources'!$B$4</x:f>
        <x:v>2.35</x:v>
      </x:c>
      <x:c r="S126" s="56" t="n">
        <x:f>MAX(0,'Hypothèses &amp; sources'!$B$5*MAX(0,MIN(100,'Hypothèses &amp; sources'!$B$10-R126*'Hypothèses &amp; sources'!$B$9))+'Hypothèses &amp; sources'!$B$6*(G126/5*100)+'Hypothèses &amp; sources'!$B$7*(H126/5*100)+'Hypothèses &amp; sources'!$B$8*MAX(0,MIN(100,'Hypothèses &amp; sources'!$B$12-E126*'Hypothèses &amp; sources'!$B$11))-T126)</x:f>
        <x:v>73.836</x:v>
      </x:c>
      <x:c r="T126" s="33" t="n">
        <x:v>0</x:v>
      </x:c>
    </x:row>
    <x:row r="127">
      <x:c r="A127" s="33" t="n">
        <x:v>123</x:v>
      </x:c>
      <x:c r="B127" s="38" t="str">
        <x:v>Casserole de poulet parmesan</x:v>
      </x:c>
      <x:c r="C127" s="38" t="str">
        <x:v>Gratin / farci</x:v>
      </x:c>
      <x:c r="D127" s="38" t="str">
        <x:v>poulet, crème / fromage</x:v>
      </x:c>
      <x:c r="E127" s="33" t="n">
        <x:v>25</x:v>
      </x:c>
      <x:c r="F127" s="33" t="n">
        <x:v>55</x:v>
      </x:c>
      <x:c r="G127" s="56" t="n">
        <x:v>4.2</x:v>
      </x:c>
      <x:c r="H127" s="56" t="n">
        <x:v>3.4</x:v>
      </x:c>
      <x:c r="I127" s="33" t="n">
        <x:v>0</x:v>
      </x:c>
      <x:c r="J127" s="57" t="n">
        <x:v>11.7</x:v>
      </x:c>
      <x:c r="K127" s="57" t="n">
        <x:f>J127*'Hypothèses &amp; sources'!$E$4</x:f>
        <x:v>11.7</x:v>
      </x:c>
      <x:c r="L127" s="57" t="n">
        <x:f>J127*'Hypothèses &amp; sources'!$F$4</x:f>
        <x:v>12.402</x:v>
      </x:c>
      <x:c r="M127" s="57" t="n">
        <x:f>J127*'Hypothèses &amp; sources'!$G$4</x:f>
        <x:v>12.870000000000001</x:v>
      </x:c>
      <x:c r="N127" s="57" t="n">
        <x:f>J127*'Hypothèses &amp; sources'!$H$4</x:f>
        <x:v>12.987</x:v>
      </x:c>
      <x:c r="O127" s="57" t="n">
        <x:f>J127*'Hypothèses &amp; sources'!$I$4</x:f>
        <x:v>14.508</x:v>
      </x:c>
      <x:c r="P127" s="57" t="str">
        <x:v>Lidl</x:v>
      </x:c>
      <x:c r="Q127" s="57" t="n">
        <x:f>IF(P127="Lidl",K127,IF(P127="Super U",L127,IF(P127="Carrefour",M127,IF(P127="Auchan",N127,O127))))</x:f>
        <x:v>11.7</x:v>
      </x:c>
      <x:c r="R127" s="57" t="n">
        <x:f>Q127/'Hypothèses &amp; sources'!$B$4</x:f>
        <x:v>2.925</x:v>
      </x:c>
      <x:c r="S127" s="56" t="n">
        <x:f>MAX(0,'Hypothèses &amp; sources'!$B$5*MAX(0,MIN(100,'Hypothèses &amp; sources'!$B$10-R127*'Hypothèses &amp; sources'!$B$9))+'Hypothèses &amp; sources'!$B$6*(G127/5*100)+'Hypothèses &amp; sources'!$B$7*(H127/5*100)+'Hypothèses &amp; sources'!$B$8*MAX(0,MIN(100,'Hypothèses &amp; sources'!$B$12-E127*'Hypothèses &amp; sources'!$B$11))-T127)</x:f>
        <x:v>73.818</x:v>
      </x:c>
      <x:c r="T127" s="33" t="n">
        <x:v>0</x:v>
      </x:c>
    </x:row>
    <x:row r="128">
      <x:c r="A128" s="33" t="n">
        <x:v>124</x:v>
      </x:c>
      <x:c r="B128" s="38" t="str">
        <x:v>Salade de betterave koshimbir/betteraves</x:v>
      </x:c>
      <x:c r="C128" s="38" t="str">
        <x:v>Salade / accompagnement</x:v>
      </x:c>
      <x:c r="D128" s="38" t="str">
        <x:v>betteraves</x:v>
      </x:c>
      <x:c r="E128" s="33" t="n">
        <x:v>15</x:v>
      </x:c>
      <x:c r="F128" s="33" t="n">
        <x:v>15</x:v>
      </x:c>
      <x:c r="G128" s="56" t="n">
        <x:v>3.2</x:v>
      </x:c>
      <x:c r="H128" s="56" t="n">
        <x:v>3.5</x:v>
      </x:c>
      <x:c r="I128" s="33" t="n">
        <x:v>0</x:v>
      </x:c>
      <x:c r="J128" s="57" t="n">
        <x:v>2.5</x:v>
      </x:c>
      <x:c r="K128" s="57" t="n">
        <x:f>J128*'Hypothèses &amp; sources'!$E$4</x:f>
        <x:v>2.5</x:v>
      </x:c>
      <x:c r="L128" s="57" t="n">
        <x:f>J128*'Hypothèses &amp; sources'!$F$4</x:f>
        <x:v>2.6500000000000004</x:v>
      </x:c>
      <x:c r="M128" s="57" t="n">
        <x:f>J128*'Hypothèses &amp; sources'!$G$4</x:f>
        <x:v>2.75</x:v>
      </x:c>
      <x:c r="N128" s="57" t="n">
        <x:f>J128*'Hypothèses &amp; sources'!$H$4</x:f>
        <x:v>2.7750000000000004</x:v>
      </x:c>
      <x:c r="O128" s="57" t="n">
        <x:f>J128*'Hypothèses &amp; sources'!$I$4</x:f>
        <x:v>3.1</x:v>
      </x:c>
      <x:c r="P128" s="57" t="str">
        <x:v>Lidl</x:v>
      </x:c>
      <x:c r="Q128" s="57" t="n">
        <x:f>IF(P128="Lidl",K128,IF(P128="Super U",L128,IF(P128="Carrefour",M128,IF(P128="Auchan",N128,O128))))</x:f>
        <x:v>2.5</x:v>
      </x:c>
      <x:c r="R128" s="57" t="n">
        <x:f>Q128/'Hypothèses &amp; sources'!$B$4</x:f>
        <x:v>0.625</x:v>
      </x:c>
      <x:c r="S128" s="56" t="n">
        <x:f>MAX(0,'Hypothèses &amp; sources'!$B$5*MAX(0,MIN(100,'Hypothèses &amp; sources'!$B$10-R128*'Hypothèses &amp; sources'!$B$9))+'Hypothèses &amp; sources'!$B$6*(G128/5*100)+'Hypothèses &amp; sources'!$B$7*(H128/5*100)+'Hypothèses &amp; sources'!$B$8*MAX(0,MIN(100,'Hypothèses &amp; sources'!$B$12-E128*'Hypothèses &amp; sources'!$B$11))-T128)</x:f>
        <x:v>73.75999999999999</x:v>
      </x:c>
      <x:c r="T128" s="33" t="n">
        <x:v>8</x:v>
      </x:c>
    </x:row>
    <x:row r="129">
      <x:c r="A129" s="33" t="n">
        <x:v>125</x:v>
      </x:c>
      <x:c r="B129" s="38" t="str">
        <x:v>Cream of mushroom chicken</x:v>
      </x:c>
      <x:c r="C129" s="38" t="str">
        <x:v>Plat complet</x:v>
      </x:c>
      <x:c r="D129" s="38" t="str">
        <x:v>champignons, poulet, crème / fromage</x:v>
      </x:c>
      <x:c r="E129" s="33" t="n">
        <x:v>20</x:v>
      </x:c>
      <x:c r="F129" s="33" t="n">
        <x:v>40</x:v>
      </x:c>
      <x:c r="G129" s="56" t="n">
        <x:v>4.2</x:v>
      </x:c>
      <x:c r="H129" s="56" t="n">
        <x:v>3.4</x:v>
      </x:c>
      <x:c r="I129" s="33" t="n">
        <x:v>0</x:v>
      </x:c>
      <x:c r="J129" s="57" t="n">
        <x:v>13.2</x:v>
      </x:c>
      <x:c r="K129" s="57" t="n">
        <x:f>J129*'Hypothèses &amp; sources'!$E$4</x:f>
        <x:v>13.2</x:v>
      </x:c>
      <x:c r="L129" s="57" t="n">
        <x:f>J129*'Hypothèses &amp; sources'!$F$4</x:f>
        <x:v>13.991999999999999</x:v>
      </x:c>
      <x:c r="M129" s="57" t="n">
        <x:f>J129*'Hypothèses &amp; sources'!$G$4</x:f>
        <x:v>14.52</x:v>
      </x:c>
      <x:c r="N129" s="57" t="n">
        <x:f>J129*'Hypothèses &amp; sources'!$H$4</x:f>
        <x:v>14.652000000000001</x:v>
      </x:c>
      <x:c r="O129" s="57" t="n">
        <x:f>J129*'Hypothèses &amp; sources'!$I$4</x:f>
        <x:v>16.368</x:v>
      </x:c>
      <x:c r="P129" s="57" t="str">
        <x:v>Lidl</x:v>
      </x:c>
      <x:c r="Q129" s="57" t="n">
        <x:f>IF(P129="Lidl",K129,IF(P129="Super U",L129,IF(P129="Carrefour",M129,IF(P129="Auchan",N129,O129))))</x:f>
        <x:v>13.2</x:v>
      </x:c>
      <x:c r="R129" s="57" t="n">
        <x:f>Q129/'Hypothèses &amp; sources'!$B$4</x:f>
        <x:v>3.3</x:v>
      </x:c>
      <x:c r="S129" s="56" t="n">
        <x:f>MAX(0,'Hypothèses &amp; sources'!$B$5*MAX(0,MIN(100,'Hypothèses &amp; sources'!$B$10-R129*'Hypothèses &amp; sources'!$B$9))+'Hypothèses &amp; sources'!$B$6*(G129/5*100)+'Hypothèses &amp; sources'!$B$7*(H129/5*100)+'Hypothèses &amp; sources'!$B$8*MAX(0,MIN(100,'Hypothèses &amp; sources'!$B$12-E129*'Hypothèses &amp; sources'!$B$11))-T129)</x:f>
        <x:v>73.248</x:v>
      </x:c>
      <x:c r="T129" s="33" t="n">
        <x:v>0</x:v>
      </x:c>
    </x:row>
    <x:row r="130">
      <x:c r="A130" s="33" t="n">
        <x:v>126</x:v>
      </x:c>
      <x:c r="B130" s="38" t="str">
        <x:v>Baby back ribs</x:v>
      </x:c>
      <x:c r="C130" s="38" t="str">
        <x:v>Plat complet</x:v>
      </x:c>
      <x:c r="D130" s="38" t="str">
        <x:v>travers de porc, sauce barbecue, ail, paprika, épices</x:v>
      </x:c>
      <x:c r="E130" s="33" t="n">
        <x:v>15</x:v>
      </x:c>
      <x:c r="F130" s="33" t="n">
        <x:v>90</x:v>
      </x:c>
      <x:c r="G130" s="56" t="n">
        <x:v>4.3</x:v>
      </x:c>
      <x:c r="H130" s="56" t="n">
        <x:v>2.8</x:v>
      </x:c>
      <x:c r="I130" s="33" t="n">
        <x:v>0</x:v>
      </x:c>
      <x:c r="J130" s="57" t="n">
        <x:v>13</x:v>
      </x:c>
      <x:c r="K130" s="57" t="n">
        <x:f>J130*'Hypothèses &amp; sources'!$E$4</x:f>
        <x:v>13</x:v>
      </x:c>
      <x:c r="L130" s="57" t="n">
        <x:f>J130*'Hypothèses &amp; sources'!$F$4</x:f>
        <x:v>13.780000000000001</x:v>
      </x:c>
      <x:c r="M130" s="57" t="n">
        <x:f>J130*'Hypothèses &amp; sources'!$G$4</x:f>
        <x:v>14.3</x:v>
      </x:c>
      <x:c r="N130" s="57" t="n">
        <x:f>J130*'Hypothèses &amp; sources'!$H$4</x:f>
        <x:v>14.430000000000001</x:v>
      </x:c>
      <x:c r="O130" s="57" t="n">
        <x:f>J130*'Hypothèses &amp; sources'!$I$4</x:f>
        <x:v>16.12</x:v>
      </x:c>
      <x:c r="P130" s="57" t="str">
        <x:v>Lidl</x:v>
      </x:c>
      <x:c r="Q130" s="57" t="n">
        <x:f>IF(P130="Lidl",K130,IF(P130="Super U",L130,IF(P130="Carrefour",M130,IF(P130="Auchan",N130,O130))))</x:f>
        <x:v>13</x:v>
      </x:c>
      <x:c r="R130" s="57" t="n">
        <x:f>Q130/'Hypothèses &amp; sources'!$B$4</x:f>
        <x:v>3.25</x:v>
      </x:c>
      <x:c r="S130" s="56" t="n">
        <x:f>MAX(0,'Hypothèses &amp; sources'!$B$5*MAX(0,MIN(100,'Hypothèses &amp; sources'!$B$10-R130*'Hypothèses &amp; sources'!$B$9))+'Hypothèses &amp; sources'!$B$6*(G130/5*100)+'Hypothèses &amp; sources'!$B$7*(H130/5*100)+'Hypothèses &amp; sources'!$B$8*MAX(0,MIN(100,'Hypothèses &amp; sources'!$B$12-E130*'Hypothèses &amp; sources'!$B$11))-T130)</x:f>
        <x:v>73.22</x:v>
      </x:c>
      <x:c r="T130" s="33" t="n">
        <x:v>0</x:v>
      </x:c>
    </x:row>
    <x:row r="131">
      <x:c r="A131" s="33" t="n">
        <x:v>127</x:v>
      </x:c>
      <x:c r="B131" s="38" t="str">
        <x:v>Chou au beurre</x:v>
      </x:c>
      <x:c r="C131" s="38" t="str">
        <x:v>Accompagnement</x:v>
      </x:c>
      <x:c r="D131" s="38" t="str">
        <x:v>chou, beurre, sel, poivre</x:v>
      </x:c>
      <x:c r="E131" s="33" t="n">
        <x:v>10</x:v>
      </x:c>
      <x:c r="F131" s="33" t="n">
        <x:v>25</x:v>
      </x:c>
      <x:c r="G131" s="56" t="n">
        <x:v>3</x:v>
      </x:c>
      <x:c r="H131" s="56" t="n">
        <x:v>3.2</x:v>
      </x:c>
      <x:c r="I131" s="33" t="n">
        <x:v>0</x:v>
      </x:c>
      <x:c r="J131" s="57" t="n">
        <x:v>3.2</x:v>
      </x:c>
      <x:c r="K131" s="57" t="n">
        <x:f>J131*'Hypothèses &amp; sources'!$E$4</x:f>
        <x:v>3.2</x:v>
      </x:c>
      <x:c r="L131" s="57" t="n">
        <x:f>J131*'Hypothèses &amp; sources'!$F$4</x:f>
        <x:v>3.3920000000000003</x:v>
      </x:c>
      <x:c r="M131" s="57" t="n">
        <x:f>J131*'Hypothèses &amp; sources'!$G$4</x:f>
        <x:v>3.5200000000000005</x:v>
      </x:c>
      <x:c r="N131" s="57" t="n">
        <x:f>J131*'Hypothèses &amp; sources'!$H$4</x:f>
        <x:v>3.5520000000000005</x:v>
      </x:c>
      <x:c r="O131" s="57" t="n">
        <x:f>J131*'Hypothèses &amp; sources'!$I$4</x:f>
        <x:v>3.968</x:v>
      </x:c>
      <x:c r="P131" s="57" t="str">
        <x:v>Lidl</x:v>
      </x:c>
      <x:c r="Q131" s="57" t="n">
        <x:f>IF(P131="Lidl",K131,IF(P131="Super U",L131,IF(P131="Carrefour",M131,IF(P131="Auchan",N131,O131))))</x:f>
        <x:v>3.2</x:v>
      </x:c>
      <x:c r="R131" s="57" t="n">
        <x:f>Q131/'Hypothèses &amp; sources'!$B$4</x:f>
        <x:v>0.8</x:v>
      </x:c>
      <x:c r="S131" s="56" t="n">
        <x:f>MAX(0,'Hypothèses &amp; sources'!$B$5*MAX(0,MIN(100,'Hypothèses &amp; sources'!$B$10-R131*'Hypothèses &amp; sources'!$B$9))+'Hypothèses &amp; sources'!$B$6*(G131/5*100)+'Hypothèses &amp; sources'!$B$7*(H131/5*100)+'Hypothèses &amp; sources'!$B$8*MAX(0,MIN(100,'Hypothèses &amp; sources'!$B$12-E131*'Hypothèses &amp; sources'!$B$11))-T131)</x:f>
        <x:v>72.88</x:v>
      </x:c>
      <x:c r="T131" s="33" t="n">
        <x:v>8</x:v>
      </x:c>
    </x:row>
    <x:row r="132">
      <x:c r="A132" s="33" t="n">
        <x:v>128</x:v>
      </x:c>
      <x:c r="B132" s="38" t="str">
        <x:v>Meatball sliders</x:v>
      </x:c>
      <x:c r="C132" s="38" t="str">
        <x:v>Sandwich / viande</x:v>
      </x:c>
      <x:c r="D132" s="38" t="str">
        <x:v>mini-pains, boulettes de bœuf, sauce tomate, mozzarella</x:v>
      </x:c>
      <x:c r="E132" s="33" t="n">
        <x:v>20</x:v>
      </x:c>
      <x:c r="F132" s="33" t="n">
        <x:v>35</x:v>
      </x:c>
      <x:c r="G132" s="56" t="n">
        <x:v>4.4</x:v>
      </x:c>
      <x:c r="H132" s="56" t="n">
        <x:v>3</x:v>
      </x:c>
      <x:c r="I132" s="33" t="n">
        <x:v>1</x:v>
      </x:c>
      <x:c r="J132" s="57" t="n">
        <x:v>12.5</x:v>
      </x:c>
      <x:c r="K132" s="57" t="n">
        <x:f>J132*'Hypothèses &amp; sources'!$E$4</x:f>
        <x:v>12.5</x:v>
      </x:c>
      <x:c r="L132" s="57" t="n">
        <x:f>J132*'Hypothèses &amp; sources'!$F$4</x:f>
        <x:v>13.25</x:v>
      </x:c>
      <x:c r="M132" s="57" t="n">
        <x:f>J132*'Hypothèses &amp; sources'!$G$4</x:f>
        <x:v>13.750000000000002</x:v>
      </x:c>
      <x:c r="N132" s="57" t="n">
        <x:f>J132*'Hypothèses &amp; sources'!$H$4</x:f>
        <x:v>13.875000000000002</x:v>
      </x:c>
      <x:c r="O132" s="57" t="n">
        <x:f>J132*'Hypothèses &amp; sources'!$I$4</x:f>
        <x:v>15.5</x:v>
      </x:c>
      <x:c r="P132" s="57" t="str">
        <x:v>Super U</x:v>
      </x:c>
      <x:c r="Q132" s="57" t="n">
        <x:f>IF(P132="Lidl",K132,IF(P132="Super U",L132,IF(P132="Carrefour",M132,IF(P132="Auchan",N132,O132))))</x:f>
        <x:v>13.25</x:v>
      </x:c>
      <x:c r="R132" s="57" t="n">
        <x:f>Q132/'Hypothèses &amp; sources'!$B$4</x:f>
        <x:v>3.3125</x:v>
      </x:c>
      <x:c r="S132" s="56" t="n">
        <x:f>MAX(0,'Hypothèses &amp; sources'!$B$5*MAX(0,MIN(100,'Hypothèses &amp; sources'!$B$10-R132*'Hypothèses &amp; sources'!$B$9))+'Hypothèses &amp; sources'!$B$6*(G132/5*100)+'Hypothèses &amp; sources'!$B$7*(H132/5*100)+'Hypothèses &amp; sources'!$B$8*MAX(0,MIN(100,'Hypothèses &amp; sources'!$B$12-E132*'Hypothèses &amp; sources'!$B$11))-T132)</x:f>
        <x:v>72.86500000000001</x:v>
      </x:c>
      <x:c r="T132" s="33" t="n">
        <x:v>0</x:v>
      </x:c>
    </x:row>
    <x:row r="133">
      <x:c r="A133" s="33" t="n">
        <x:v>129</x:v>
      </x:c>
      <x:c r="B133" s="38" t="str">
        <x:v>Pot roast</x:v>
      </x:c>
      <x:c r="C133" s="38" t="str">
        <x:v>Mijoté / bœuf</x:v>
      </x:c>
      <x:c r="D133" s="38" t="str">
        <x:v>rôti de bœuf, pommes de terre, carottes, oignon, bouillon</x:v>
      </x:c>
      <x:c r="E133" s="33" t="n">
        <x:v>20</x:v>
      </x:c>
      <x:c r="F133" s="33" t="n">
        <x:v>90</x:v>
      </x:c>
      <x:c r="G133" s="56" t="n">
        <x:v>4.8</x:v>
      </x:c>
      <x:c r="H133" s="56" t="n">
        <x:v>4</x:v>
      </x:c>
      <x:c r="I133" s="33" t="n">
        <x:v>0</x:v>
      </x:c>
      <x:c r="J133" s="57" t="n">
        <x:v>18</x:v>
      </x:c>
      <x:c r="K133" s="57" t="n">
        <x:f>J133*'Hypothèses &amp; sources'!$E$4</x:f>
        <x:v>18</x:v>
      </x:c>
      <x:c r="L133" s="57" t="n">
        <x:f>J133*'Hypothèses &amp; sources'!$F$4</x:f>
        <x:v>19.080000000000002</x:v>
      </x:c>
      <x:c r="M133" s="57" t="n">
        <x:f>J133*'Hypothèses &amp; sources'!$G$4</x:f>
        <x:v>19.8</x:v>
      </x:c>
      <x:c r="N133" s="57" t="n">
        <x:f>J133*'Hypothèses &amp; sources'!$H$4</x:f>
        <x:v>19.98</x:v>
      </x:c>
      <x:c r="O133" s="57" t="n">
        <x:f>J133*'Hypothèses &amp; sources'!$I$4</x:f>
        <x:v>22.32</x:v>
      </x:c>
      <x:c r="P133" s="57" t="str">
        <x:v>Lidl</x:v>
      </x:c>
      <x:c r="Q133" s="57" t="n">
        <x:f>IF(P133="Lidl",K133,IF(P133="Super U",L133,IF(P133="Carrefour",M133,IF(P133="Auchan",N133,O133))))</x:f>
        <x:v>18</x:v>
      </x:c>
      <x:c r="R133" s="57" t="n">
        <x:f>Q133/'Hypothèses &amp; sources'!$B$4</x:f>
        <x:v>4.5</x:v>
      </x:c>
      <x:c r="S133" s="56" t="n">
        <x:f>MAX(0,'Hypothèses &amp; sources'!$B$5*MAX(0,MIN(100,'Hypothèses &amp; sources'!$B$10-R133*'Hypothèses &amp; sources'!$B$9))+'Hypothèses &amp; sources'!$B$6*(G133/5*100)+'Hypothèses &amp; sources'!$B$7*(H133/5*100)+'Hypothèses &amp; sources'!$B$8*MAX(0,MIN(100,'Hypothèses &amp; sources'!$B$12-E133*'Hypothèses &amp; sources'!$B$11))-T133)</x:f>
        <x:v>72.72000000000001</x:v>
      </x:c>
      <x:c r="T133" s="33" t="n">
        <x:v>0</x:v>
      </x:c>
    </x:row>
    <x:row r="134">
      <x:c r="A134" s="33" t="n">
        <x:v>130</x:v>
      </x:c>
      <x:c r="B134" s="38" t="str">
        <x:v>Mushroom pork ragout</x:v>
      </x:c>
      <x:c r="C134" s="38" t="str">
        <x:v>Mijoté / curry</x:v>
      </x:c>
      <x:c r="D134" s="38" t="str">
        <x:v>oignon, bouillon, épices, champignons, porc</x:v>
      </x:c>
      <x:c r="E134" s="33" t="n">
        <x:v>25</x:v>
      </x:c>
      <x:c r="F134" s="33" t="n">
        <x:v>75</x:v>
      </x:c>
      <x:c r="G134" s="56" t="n">
        <x:v>4.3</x:v>
      </x:c>
      <x:c r="H134" s="56" t="n">
        <x:v>3.1</x:v>
      </x:c>
      <x:c r="I134" s="33" t="n">
        <x:v>0</x:v>
      </x:c>
      <x:c r="J134" s="57" t="n">
        <x:v>12.4</x:v>
      </x:c>
      <x:c r="K134" s="57" t="n">
        <x:f>J134*'Hypothèses &amp; sources'!$E$4</x:f>
        <x:v>12.4</x:v>
      </x:c>
      <x:c r="L134" s="57" t="n">
        <x:f>J134*'Hypothèses &amp; sources'!$F$4</x:f>
        <x:v>13.144000000000002</x:v>
      </x:c>
      <x:c r="M134" s="57" t="n">
        <x:f>J134*'Hypothèses &amp; sources'!$G$4</x:f>
        <x:v>13.640000000000002</x:v>
      </x:c>
      <x:c r="N134" s="57" t="n">
        <x:f>J134*'Hypothèses &amp; sources'!$H$4</x:f>
        <x:v>13.764000000000001</x:v>
      </x:c>
      <x:c r="O134" s="57" t="n">
        <x:f>J134*'Hypothèses &amp; sources'!$I$4</x:f>
        <x:v>15.376</x:v>
      </x:c>
      <x:c r="P134" s="57" t="str">
        <x:v>Lidl</x:v>
      </x:c>
      <x:c r="Q134" s="57" t="n">
        <x:f>IF(P134="Lidl",K134,IF(P134="Super U",L134,IF(P134="Carrefour",M134,IF(P134="Auchan",N134,O134))))</x:f>
        <x:v>12.4</x:v>
      </x:c>
      <x:c r="R134" s="57" t="n">
        <x:f>Q134/'Hypothèses &amp; sources'!$B$4</x:f>
        <x:v>3.1</x:v>
      </x:c>
      <x:c r="S134" s="56" t="n">
        <x:f>MAX(0,'Hypothèses &amp; sources'!$B$5*MAX(0,MIN(100,'Hypothèses &amp; sources'!$B$10-R134*'Hypothèses &amp; sources'!$B$9))+'Hypothèses &amp; sources'!$B$6*(G134/5*100)+'Hypothèses &amp; sources'!$B$7*(H134/5*100)+'Hypothèses &amp; sources'!$B$8*MAX(0,MIN(100,'Hypothèses &amp; sources'!$B$12-E134*'Hypothèses &amp; sources'!$B$11))-T134)</x:f>
        <x:v>72.416</x:v>
      </x:c>
      <x:c r="T134" s="33" t="n">
        <x:v>0</x:v>
      </x:c>
    </x:row>
    <x:row r="135">
      <x:c r="A135" s="33" t="n">
        <x:v>131</x:v>
      </x:c>
      <x:c r="B135" s="38" t="str">
        <x:v>Boeuf et nouilles</x:v>
      </x:c>
      <x:c r="C135" s="38" t="str">
        <x:v>Plat complet</x:v>
      </x:c>
      <x:c r="D135" s="38" t="str">
        <x:v>pâtes / nouilles, bœuf à mijoter</x:v>
      </x:c>
      <x:c r="E135" s="33" t="n">
        <x:v>20</x:v>
      </x:c>
      <x:c r="F135" s="33" t="n">
        <x:v>40</x:v>
      </x:c>
      <x:c r="G135" s="56" t="n">
        <x:v>4.3</x:v>
      </x:c>
      <x:c r="H135" s="56" t="n">
        <x:v>3.1</x:v>
      </x:c>
      <x:c r="I135" s="33" t="n">
        <x:v>0</x:v>
      </x:c>
      <x:c r="J135" s="57" t="n">
        <x:v>13.5</x:v>
      </x:c>
      <x:c r="K135" s="57" t="n">
        <x:f>J135*'Hypothèses &amp; sources'!$E$4</x:f>
        <x:v>13.5</x:v>
      </x:c>
      <x:c r="L135" s="57" t="n">
        <x:f>J135*'Hypothèses &amp; sources'!$F$4</x:f>
        <x:v>14.31</x:v>
      </x:c>
      <x:c r="M135" s="57" t="n">
        <x:f>J135*'Hypothèses &amp; sources'!$G$4</x:f>
        <x:v>14.850000000000001</x:v>
      </x:c>
      <x:c r="N135" s="57" t="n">
        <x:f>J135*'Hypothèses &amp; sources'!$H$4</x:f>
        <x:v>14.985000000000001</x:v>
      </x:c>
      <x:c r="O135" s="57" t="n">
        <x:f>J135*'Hypothèses &amp; sources'!$I$4</x:f>
        <x:v>16.74</x:v>
      </x:c>
      <x:c r="P135" s="57" t="str">
        <x:v>Lidl</x:v>
      </x:c>
      <x:c r="Q135" s="57" t="n">
        <x:f>IF(P135="Lidl",K135,IF(P135="Super U",L135,IF(P135="Carrefour",M135,IF(P135="Auchan",N135,O135))))</x:f>
        <x:v>13.5</x:v>
      </x:c>
      <x:c r="R135" s="57" t="n">
        <x:f>Q135/'Hypothèses &amp; sources'!$B$4</x:f>
        <x:v>3.375</x:v>
      </x:c>
      <x:c r="S135" s="56" t="n">
        <x:f>MAX(0,'Hypothèses &amp; sources'!$B$5*MAX(0,MIN(100,'Hypothèses &amp; sources'!$B$10-R135*'Hypothèses &amp; sources'!$B$9))+'Hypothèses &amp; sources'!$B$6*(G135/5*100)+'Hypothèses &amp; sources'!$B$7*(H135/5*100)+'Hypothèses &amp; sources'!$B$8*MAX(0,MIN(100,'Hypothèses &amp; sources'!$B$12-E135*'Hypothèses &amp; sources'!$B$11))-T135)</x:f>
        <x:v>72.35</x:v>
      </x:c>
      <x:c r="T135" s="33" t="n">
        <x:v>0</x:v>
      </x:c>
    </x:row>
    <x:row r="136">
      <x:c r="A136" s="33" t="n">
        <x:v>132</x:v>
      </x:c>
      <x:c r="B136" s="38" t="str">
        <x:v>Beef ragu</x:v>
      </x:c>
      <x:c r="C136" s="38" t="str">
        <x:v>Plat complet</x:v>
      </x:c>
      <x:c r="D136" s="38" t="str">
        <x:v>bœuf à mijoter</x:v>
      </x:c>
      <x:c r="E136" s="33" t="n">
        <x:v>20</x:v>
      </x:c>
      <x:c r="F136" s="33" t="n">
        <x:v>40</x:v>
      </x:c>
      <x:c r="G136" s="56" t="n">
        <x:v>4</x:v>
      </x:c>
      <x:c r="H136" s="56" t="n">
        <x:v>3.1</x:v>
      </x:c>
      <x:c r="I136" s="33" t="n">
        <x:v>0</x:v>
      </x:c>
      <x:c r="J136" s="57" t="n">
        <x:v>12.4</x:v>
      </x:c>
      <x:c r="K136" s="57" t="n">
        <x:f>J136*'Hypothèses &amp; sources'!$E$4</x:f>
        <x:v>12.4</x:v>
      </x:c>
      <x:c r="L136" s="57" t="n">
        <x:f>J136*'Hypothèses &amp; sources'!$F$4</x:f>
        <x:v>13.144000000000002</x:v>
      </x:c>
      <x:c r="M136" s="57" t="n">
        <x:f>J136*'Hypothèses &amp; sources'!$G$4</x:f>
        <x:v>13.640000000000002</x:v>
      </x:c>
      <x:c r="N136" s="57" t="n">
        <x:f>J136*'Hypothèses &amp; sources'!$H$4</x:f>
        <x:v>13.764000000000001</x:v>
      </x:c>
      <x:c r="O136" s="57" t="n">
        <x:f>J136*'Hypothèses &amp; sources'!$I$4</x:f>
        <x:v>15.376</x:v>
      </x:c>
      <x:c r="P136" s="57" t="str">
        <x:v>Lidl</x:v>
      </x:c>
      <x:c r="Q136" s="57" t="n">
        <x:f>IF(P136="Lidl",K136,IF(P136="Super U",L136,IF(P136="Carrefour",M136,IF(P136="Auchan",N136,O136))))</x:f>
        <x:v>12.4</x:v>
      </x:c>
      <x:c r="R136" s="57" t="n">
        <x:f>Q136/'Hypothèses &amp; sources'!$B$4</x:f>
        <x:v>3.1</x:v>
      </x:c>
      <x:c r="S136" s="56" t="n">
        <x:f>MAX(0,'Hypothèses &amp; sources'!$B$5*MAX(0,MIN(100,'Hypothèses &amp; sources'!$B$10-R136*'Hypothèses &amp; sources'!$B$9))+'Hypothèses &amp; sources'!$B$6*(G136/5*100)+'Hypothèses &amp; sources'!$B$7*(H136/5*100)+'Hypothèses &amp; sources'!$B$8*MAX(0,MIN(100,'Hypothèses &amp; sources'!$B$12-E136*'Hypothèses &amp; sources'!$B$11))-T136)</x:f>
        <x:v>72.056</x:v>
      </x:c>
      <x:c r="T136" s="33" t="n">
        <x:v>0</x:v>
      </x:c>
    </x:row>
    <x:row r="137">
      <x:c r="A137" s="33" t="n">
        <x:v>133</x:v>
      </x:c>
      <x:c r="B137" s="38" t="str">
        <x:v>Boeuf salé</x:v>
      </x:c>
      <x:c r="C137" s="38" t="str">
        <x:v>Plat complet</x:v>
      </x:c>
      <x:c r="D137" s="38" t="str">
        <x:v>bœuf à mijoter</x:v>
      </x:c>
      <x:c r="E137" s="33" t="n">
        <x:v>20</x:v>
      </x:c>
      <x:c r="F137" s="33" t="n">
        <x:v>40</x:v>
      </x:c>
      <x:c r="G137" s="56" t="n">
        <x:v>4</x:v>
      </x:c>
      <x:c r="H137" s="56" t="n">
        <x:v>3.1</x:v>
      </x:c>
      <x:c r="I137" s="33" t="n">
        <x:v>0</x:v>
      </x:c>
      <x:c r="J137" s="57" t="n">
        <x:v>12.4</x:v>
      </x:c>
      <x:c r="K137" s="57" t="n">
        <x:f>J137*'Hypothèses &amp; sources'!$E$4</x:f>
        <x:v>12.4</x:v>
      </x:c>
      <x:c r="L137" s="57" t="n">
        <x:f>J137*'Hypothèses &amp; sources'!$F$4</x:f>
        <x:v>13.144000000000002</x:v>
      </x:c>
      <x:c r="M137" s="57" t="n">
        <x:f>J137*'Hypothèses &amp; sources'!$G$4</x:f>
        <x:v>13.640000000000002</x:v>
      </x:c>
      <x:c r="N137" s="57" t="n">
        <x:f>J137*'Hypothèses &amp; sources'!$H$4</x:f>
        <x:v>13.764000000000001</x:v>
      </x:c>
      <x:c r="O137" s="57" t="n">
        <x:f>J137*'Hypothèses &amp; sources'!$I$4</x:f>
        <x:v>15.376</x:v>
      </x:c>
      <x:c r="P137" s="57" t="str">
        <x:v>Lidl</x:v>
      </x:c>
      <x:c r="Q137" s="57" t="n">
        <x:f>IF(P137="Lidl",K137,IF(P137="Super U",L137,IF(P137="Carrefour",M137,IF(P137="Auchan",N137,O137))))</x:f>
        <x:v>12.4</x:v>
      </x:c>
      <x:c r="R137" s="57" t="n">
        <x:f>Q137/'Hypothèses &amp; sources'!$B$4</x:f>
        <x:v>3.1</x:v>
      </x:c>
      <x:c r="S137" s="56" t="n">
        <x:f>MAX(0,'Hypothèses &amp; sources'!$B$5*MAX(0,MIN(100,'Hypothèses &amp; sources'!$B$10-R137*'Hypothèses &amp; sources'!$B$9))+'Hypothèses &amp; sources'!$B$6*(G137/5*100)+'Hypothèses &amp; sources'!$B$7*(H137/5*100)+'Hypothèses &amp; sources'!$B$8*MAX(0,MIN(100,'Hypothèses &amp; sources'!$B$12-E137*'Hypothèses &amp; sources'!$B$11))-T137)</x:f>
        <x:v>72.056</x:v>
      </x:c>
      <x:c r="T137" s="33" t="n">
        <x:v>0</x:v>
      </x:c>
    </x:row>
    <x:row r="138">
      <x:c r="A138" s="33" t="n">
        <x:v>134</x:v>
      </x:c>
      <x:c r="B138" s="38" t="str">
        <x:v>Morceaux de boeuf suedois</x:v>
      </x:c>
      <x:c r="C138" s="38" t="str">
        <x:v>Plat complet</x:v>
      </x:c>
      <x:c r="D138" s="38" t="str">
        <x:v>bœuf à mijoter</x:v>
      </x:c>
      <x:c r="E138" s="33" t="n">
        <x:v>20</x:v>
      </x:c>
      <x:c r="F138" s="33" t="n">
        <x:v>40</x:v>
      </x:c>
      <x:c r="G138" s="56" t="n">
        <x:v>4</x:v>
      </x:c>
      <x:c r="H138" s="56" t="n">
        <x:v>3.1</x:v>
      </x:c>
      <x:c r="I138" s="33" t="n">
        <x:v>0</x:v>
      </x:c>
      <x:c r="J138" s="57" t="n">
        <x:v>12.4</x:v>
      </x:c>
      <x:c r="K138" s="57" t="n">
        <x:f>J138*'Hypothèses &amp; sources'!$E$4</x:f>
        <x:v>12.4</x:v>
      </x:c>
      <x:c r="L138" s="57" t="n">
        <x:f>J138*'Hypothèses &amp; sources'!$F$4</x:f>
        <x:v>13.144000000000002</x:v>
      </x:c>
      <x:c r="M138" s="57" t="n">
        <x:f>J138*'Hypothèses &amp; sources'!$G$4</x:f>
        <x:v>13.640000000000002</x:v>
      </x:c>
      <x:c r="N138" s="57" t="n">
        <x:f>J138*'Hypothèses &amp; sources'!$H$4</x:f>
        <x:v>13.764000000000001</x:v>
      </x:c>
      <x:c r="O138" s="57" t="n">
        <x:f>J138*'Hypothèses &amp; sources'!$I$4</x:f>
        <x:v>15.376</x:v>
      </x:c>
      <x:c r="P138" s="57" t="str">
        <x:v>Lidl</x:v>
      </x:c>
      <x:c r="Q138" s="57" t="n">
        <x:f>IF(P138="Lidl",K138,IF(P138="Super U",L138,IF(P138="Carrefour",M138,IF(P138="Auchan",N138,O138))))</x:f>
        <x:v>12.4</x:v>
      </x:c>
      <x:c r="R138" s="57" t="n">
        <x:f>Q138/'Hypothèses &amp; sources'!$B$4</x:f>
        <x:v>3.1</x:v>
      </x:c>
      <x:c r="S138" s="56" t="n">
        <x:f>MAX(0,'Hypothèses &amp; sources'!$B$5*MAX(0,MIN(100,'Hypothèses &amp; sources'!$B$10-R138*'Hypothèses &amp; sources'!$B$9))+'Hypothèses &amp; sources'!$B$6*(G138/5*100)+'Hypothèses &amp; sources'!$B$7*(H138/5*100)+'Hypothèses &amp; sources'!$B$8*MAX(0,MIN(100,'Hypothèses &amp; sources'!$B$12-E138*'Hypothèses &amp; sources'!$B$11))-T138)</x:f>
        <x:v>72.056</x:v>
      </x:c>
      <x:c r="T138" s="33" t="n">
        <x:v>0</x:v>
      </x:c>
    </x:row>
    <x:row r="139">
      <x:c r="A139" s="33" t="n">
        <x:v>135</x:v>
      </x:c>
      <x:c r="B139" s="38" t="str">
        <x:v>Saag de porc</x:v>
      </x:c>
      <x:c r="C139" s="38" t="str">
        <x:v>Curry / cuisine épicée</x:v>
      </x:c>
      <x:c r="D139" s="38" t="str">
        <x:v>oignon, ail, gingembre, épices, porc, légumes</x:v>
      </x:c>
      <x:c r="E139" s="33" t="n">
        <x:v>25</x:v>
      </x:c>
      <x:c r="F139" s="33" t="n">
        <x:v>55</x:v>
      </x:c>
      <x:c r="G139" s="56" t="n">
        <x:v>3.9</x:v>
      </x:c>
      <x:c r="H139" s="56" t="n">
        <x:v>3.3</x:v>
      </x:c>
      <x:c r="I139" s="33" t="n">
        <x:v>1</x:v>
      </x:c>
      <x:c r="J139" s="57" t="n">
        <x:v>11.1</x:v>
      </x:c>
      <x:c r="K139" s="57" t="n">
        <x:f>J139*'Hypothèses &amp; sources'!$E$4</x:f>
        <x:v>11.1</x:v>
      </x:c>
      <x:c r="L139" s="57" t="n">
        <x:f>J139*'Hypothèses &amp; sources'!$F$4</x:f>
        <x:v>11.766</x:v>
      </x:c>
      <x:c r="M139" s="57" t="n">
        <x:f>J139*'Hypothèses &amp; sources'!$G$4</x:f>
        <x:v>12.21</x:v>
      </x:c>
      <x:c r="N139" s="57" t="n">
        <x:f>J139*'Hypothèses &amp; sources'!$H$4</x:f>
        <x:v>12.321000000000002</x:v>
      </x:c>
      <x:c r="O139" s="57" t="n">
        <x:f>J139*'Hypothèses &amp; sources'!$I$4</x:f>
        <x:v>13.764</x:v>
      </x:c>
      <x:c r="P139" s="57" t="str">
        <x:v>Super U</x:v>
      </x:c>
      <x:c r="Q139" s="57" t="n">
        <x:f>IF(P139="Lidl",K139,IF(P139="Super U",L139,IF(P139="Carrefour",M139,IF(P139="Auchan",N139,O139))))</x:f>
        <x:v>11.766</x:v>
      </x:c>
      <x:c r="R139" s="57" t="n">
        <x:f>Q139/'Hypothèses &amp; sources'!$B$4</x:f>
        <x:v>2.9415</x:v>
      </x:c>
      <x:c r="S139" s="56" t="n">
        <x:f>MAX(0,'Hypothèses &amp; sources'!$B$5*MAX(0,MIN(100,'Hypothèses &amp; sources'!$B$10-R139*'Hypothèses &amp; sources'!$B$9))+'Hypothèses &amp; sources'!$B$6*(G139/5*100)+'Hypothèses &amp; sources'!$B$7*(H139/5*100)+'Hypothèses &amp; sources'!$B$8*MAX(0,MIN(100,'Hypothèses &amp; sources'!$B$12-E139*'Hypothèses &amp; sources'!$B$11))-T139)</x:f>
        <x:v>71.69484</x:v>
      </x:c>
      <x:c r="T139" s="33" t="n">
        <x:v>0</x:v>
      </x:c>
    </x:row>
    <x:row r="140">
      <x:c r="A140" s="33" t="n">
        <x:v>136</x:v>
      </x:c>
      <x:c r="B140" s="38" t="str">
        <x:v>10-minute steak tacos/carne asada</x:v>
      </x:c>
      <x:c r="C140" s="38" t="str">
        <x:v>Tacos / sandwich</x:v>
      </x:c>
      <x:c r="D140" s="38" t="str">
        <x:v>tortillas ou pain, crudités, sauce, bœuf à mijoter</x:v>
      </x:c>
      <x:c r="E140" s="33" t="n">
        <x:v>10</x:v>
      </x:c>
      <x:c r="F140" s="33" t="n">
        <x:v>15</x:v>
      </x:c>
      <x:c r="G140" s="56" t="n">
        <x:v>4</x:v>
      </x:c>
      <x:c r="H140" s="56" t="n">
        <x:v>3.1</x:v>
      </x:c>
      <x:c r="I140" s="33" t="n">
        <x:v>0</x:v>
      </x:c>
      <x:c r="J140" s="57" t="n">
        <x:v>14.8</x:v>
      </x:c>
      <x:c r="K140" s="57" t="n">
        <x:f>J140*'Hypothèses &amp; sources'!$E$4</x:f>
        <x:v>14.8</x:v>
      </x:c>
      <x:c r="L140" s="57" t="n">
        <x:f>J140*'Hypothèses &amp; sources'!$F$4</x:f>
        <x:v>15.688000000000002</x:v>
      </x:c>
      <x:c r="M140" s="57" t="n">
        <x:f>J140*'Hypothèses &amp; sources'!$G$4</x:f>
        <x:v>16.28</x:v>
      </x:c>
      <x:c r="N140" s="57" t="n">
        <x:f>J140*'Hypothèses &amp; sources'!$H$4</x:f>
        <x:v>16.428</x:v>
      </x:c>
      <x:c r="O140" s="57" t="n">
        <x:f>J140*'Hypothèses &amp; sources'!$I$4</x:f>
        <x:v>18.352</x:v>
      </x:c>
      <x:c r="P140" s="57" t="str">
        <x:v>Lidl</x:v>
      </x:c>
      <x:c r="Q140" s="57" t="n">
        <x:f>IF(P140="Lidl",K140,IF(P140="Super U",L140,IF(P140="Carrefour",M140,IF(P140="Auchan",N140,O140))))</x:f>
        <x:v>14.8</x:v>
      </x:c>
      <x:c r="R140" s="57" t="n">
        <x:f>Q140/'Hypothèses &amp; sources'!$B$4</x:f>
        <x:v>3.7</x:v>
      </x:c>
      <x:c r="S140" s="56" t="n">
        <x:f>MAX(0,'Hypothèses &amp; sources'!$B$5*MAX(0,MIN(100,'Hypothèses &amp; sources'!$B$10-R140*'Hypothèses &amp; sources'!$B$9))+'Hypothèses &amp; sources'!$B$6*(G140/5*100)+'Hypothèses &amp; sources'!$B$7*(H140/5*100)+'Hypothèses &amp; sources'!$B$8*MAX(0,MIN(100,'Hypothèses &amp; sources'!$B$12-E140*'Hypothèses &amp; sources'!$B$11))-T140)</x:f>
        <x:v>71.672</x:v>
      </x:c>
      <x:c r="T140" s="33" t="n">
        <x:v>0</x:v>
      </x:c>
    </x:row>
    <x:row r="141">
      <x:c r="A141" s="33" t="n">
        <x:v>137</x:v>
      </x:c>
      <x:c r="B141" s="38" t="str">
        <x:v>Mexican menudo</x:v>
      </x:c>
      <x:c r="C141" s="38" t="str">
        <x:v>Soupe / viande</x:v>
      </x:c>
      <x:c r="D141" s="38" t="str">
        <x:v>tripes de bœuf, maïs hominy, piment, oignon, citron vert</x:v>
      </x:c>
      <x:c r="E141" s="33" t="n">
        <x:v>30</x:v>
      </x:c>
      <x:c r="F141" s="33" t="n">
        <x:v>150</x:v>
      </x:c>
      <x:c r="G141" s="56" t="n">
        <x:v>4.5</x:v>
      </x:c>
      <x:c r="H141" s="56" t="n">
        <x:v>3.5</x:v>
      </x:c>
      <x:c r="I141" s="33" t="n">
        <x:v>2</x:v>
      </x:c>
      <x:c r="J141" s="57" t="n">
        <x:v>13</x:v>
      </x:c>
      <x:c r="K141" s="57" t="n">
        <x:f>J141*'Hypothèses &amp; sources'!$E$4</x:f>
        <x:v>13</x:v>
      </x:c>
      <x:c r="L141" s="57" t="n">
        <x:f>J141*'Hypothèses &amp; sources'!$F$4</x:f>
        <x:v>13.780000000000001</x:v>
      </x:c>
      <x:c r="M141" s="57" t="n">
        <x:f>J141*'Hypothèses &amp; sources'!$G$4</x:f>
        <x:v>14.3</x:v>
      </x:c>
      <x:c r="N141" s="57" t="n">
        <x:f>J141*'Hypothèses &amp; sources'!$H$4</x:f>
        <x:v>14.430000000000001</x:v>
      </x:c>
      <x:c r="O141" s="57" t="n">
        <x:f>J141*'Hypothèses &amp; sources'!$I$4</x:f>
        <x:v>16.12</x:v>
      </x:c>
      <x:c r="P141" s="57" t="str">
        <x:v>Carrefour</x:v>
      </x:c>
      <x:c r="Q141" s="57" t="n">
        <x:f>IF(P141="Lidl",K141,IF(P141="Super U",L141,IF(P141="Carrefour",M141,IF(P141="Auchan",N141,O141))))</x:f>
        <x:v>14.3</x:v>
      </x:c>
      <x:c r="R141" s="57" t="n">
        <x:f>Q141/'Hypothèses &amp; sources'!$B$4</x:f>
        <x:v>3.575</x:v>
      </x:c>
      <x:c r="S141" s="56" t="n">
        <x:f>MAX(0,'Hypothèses &amp; sources'!$B$5*MAX(0,MIN(100,'Hypothèses &amp; sources'!$B$10-R141*'Hypothèses &amp; sources'!$B$9))+'Hypothèses &amp; sources'!$B$6*(G141/5*100)+'Hypothèses &amp; sources'!$B$7*(H141/5*100)+'Hypothèses &amp; sources'!$B$8*MAX(0,MIN(100,'Hypothèses &amp; sources'!$B$12-E141*'Hypothèses &amp; sources'!$B$11))-T141)</x:f>
        <x:v>71.262</x:v>
      </x:c>
      <x:c r="T141" s="33" t="n">
        <x:v>0</x:v>
      </x:c>
    </x:row>
    <x:row r="142">
      <x:c r="A142" s="33" t="n">
        <x:v>138</x:v>
      </x:c>
      <x:c r="B142" s="38" t="str">
        <x:v>Paneer</x:v>
      </x:c>
      <x:c r="C142" s="38" t="str">
        <x:v>Fromage / accompagnement</x:v>
      </x:c>
      <x:c r="D142" s="38" t="str">
        <x:v>lait entier, citron</x:v>
      </x:c>
      <x:c r="E142" s="33" t="n">
        <x:v>20</x:v>
      </x:c>
      <x:c r="F142" s="33" t="n">
        <x:v>90</x:v>
      </x:c>
      <x:c r="G142" s="56" t="n">
        <x:v>3.5</x:v>
      </x:c>
      <x:c r="H142" s="56" t="n">
        <x:v>3.2</x:v>
      </x:c>
      <x:c r="I142" s="33" t="n">
        <x:v>1</x:v>
      </x:c>
      <x:c r="J142" s="57" t="n">
        <x:v>4.5</x:v>
      </x:c>
      <x:c r="K142" s="57" t="n">
        <x:f>J142*'Hypothèses &amp; sources'!$E$4</x:f>
        <x:v>4.5</x:v>
      </x:c>
      <x:c r="L142" s="57" t="n">
        <x:f>J142*'Hypothèses &amp; sources'!$F$4</x:f>
        <x:v>4.7700000000000005</x:v>
      </x:c>
      <x:c r="M142" s="57" t="n">
        <x:f>J142*'Hypothèses &amp; sources'!$G$4</x:f>
        <x:v>4.95</x:v>
      </x:c>
      <x:c r="N142" s="57" t="n">
        <x:f>J142*'Hypothèses &amp; sources'!$H$4</x:f>
        <x:v>4.995</x:v>
      </x:c>
      <x:c r="O142" s="57" t="n">
        <x:f>J142*'Hypothèses &amp; sources'!$I$4</x:f>
        <x:v>5.58</x:v>
      </x:c>
      <x:c r="P142" s="57" t="str">
        <x:v>Super U</x:v>
      </x:c>
      <x:c r="Q142" s="57" t="n">
        <x:f>IF(P142="Lidl",K142,IF(P142="Super U",L142,IF(P142="Carrefour",M142,IF(P142="Auchan",N142,O142))))</x:f>
        <x:v>4.7700000000000005</x:v>
      </x:c>
      <x:c r="R142" s="57" t="n">
        <x:f>Q142/'Hypothèses &amp; sources'!$B$4</x:f>
        <x:v>1.1925000000000001</x:v>
      </x:c>
      <x:c r="S142" s="56" t="n">
        <x:f>MAX(0,'Hypothèses &amp; sources'!$B$5*MAX(0,MIN(100,'Hypothèses &amp; sources'!$B$10-R142*'Hypothèses &amp; sources'!$B$9))+'Hypothèses &amp; sources'!$B$6*(G142/5*100)+'Hypothèses &amp; sources'!$B$7*(H142/5*100)+'Hypothèses &amp; sources'!$B$8*MAX(0,MIN(100,'Hypothèses &amp; sources'!$B$12-E142*'Hypothèses &amp; sources'!$B$11))-T142)</x:f>
        <x:v>71.2298</x:v>
      </x:c>
      <x:c r="T142" s="33" t="n">
        <x:v>8</x:v>
      </x:c>
    </x:row>
    <x:row r="143">
      <x:c r="A143" s="33" t="n">
        <x:v>139</x:v>
      </x:c>
      <x:c r="B143" s="38" t="str">
        <x:v>Roasted poblano strips with cream tacos</x:v>
      </x:c>
      <x:c r="C143" s="38" t="str">
        <x:v>Tacos / sandwich</x:v>
      </x:c>
      <x:c r="D143" s="38" t="str">
        <x:v>tortillas ou pain, crudités, sauce, poivrons, crème / fromage, piments poblano</x:v>
      </x:c>
      <x:c r="E143" s="33" t="n">
        <x:v>20</x:v>
      </x:c>
      <x:c r="F143" s="33" t="n">
        <x:v>90</x:v>
      </x:c>
      <x:c r="G143" s="56" t="n">
        <x:v>3.5</x:v>
      </x:c>
      <x:c r="H143" s="56" t="n">
        <x:v>3</x:v>
      </x:c>
      <x:c r="I143" s="33" t="n">
        <x:v>2</x:v>
      </x:c>
      <x:c r="J143" s="57" t="n">
        <x:v>9.7</x:v>
      </x:c>
      <x:c r="K143" s="57" t="n">
        <x:f>J143*'Hypothèses &amp; sources'!$E$4</x:f>
        <x:v>9.7</x:v>
      </x:c>
      <x:c r="L143" s="57" t="n">
        <x:f>J143*'Hypothèses &amp; sources'!$F$4</x:f>
        <x:v>10.282</x:v>
      </x:c>
      <x:c r="M143" s="57" t="n">
        <x:f>J143*'Hypothèses &amp; sources'!$G$4</x:f>
        <x:v>10.67</x:v>
      </x:c>
      <x:c r="N143" s="57" t="n">
        <x:f>J143*'Hypothèses &amp; sources'!$H$4</x:f>
        <x:v>10.767</x:v>
      </x:c>
      <x:c r="O143" s="57" t="n">
        <x:f>J143*'Hypothèses &amp; sources'!$I$4</x:f>
        <x:v>12.027999999999999</x:v>
      </x:c>
      <x:c r="P143" s="57" t="str">
        <x:v>Carrefour</x:v>
      </x:c>
      <x:c r="Q143" s="57" t="n">
        <x:f>IF(P143="Lidl",K143,IF(P143="Super U",L143,IF(P143="Carrefour",M143,IF(P143="Auchan",N143,O143))))</x:f>
        <x:v>10.67</x:v>
      </x:c>
      <x:c r="R143" s="57" t="n">
        <x:f>Q143/'Hypothèses &amp; sources'!$B$4</x:f>
        <x:v>2.6675</x:v>
      </x:c>
      <x:c r="S143" s="56" t="n">
        <x:f>MAX(0,'Hypothèses &amp; sources'!$B$5*MAX(0,MIN(100,'Hypothèses &amp; sources'!$B$10-R143*'Hypothèses &amp; sources'!$B$9))+'Hypothèses &amp; sources'!$B$6*(G143/5*100)+'Hypothèses &amp; sources'!$B$7*(H143/5*100)+'Hypothèses &amp; sources'!$B$8*MAX(0,MIN(100,'Hypothèses &amp; sources'!$B$12-E143*'Hypothèses &amp; sources'!$B$11))-T143)</x:f>
        <x:v>71.0758</x:v>
      </x:c>
      <x:c r="T143" s="33" t="n">
        <x:v>0</x:v>
      </x:c>
    </x:row>
    <x:row r="144">
      <x:c r="A144" s="33" t="n">
        <x:v>140</x:v>
      </x:c>
      <x:c r="B144" s="38" t="str">
        <x:v>Taco ground beef chili</x:v>
      </x:c>
      <x:c r="C144" s="38" t="str">
        <x:v>Tacos / sandwich</x:v>
      </x:c>
      <x:c r="D144" s="38" t="str">
        <x:v>piment / chili, tortillas ou pain, crudités, sauce, bœuf haché</x:v>
      </x:c>
      <x:c r="E144" s="33" t="n">
        <x:v>20</x:v>
      </x:c>
      <x:c r="F144" s="33" t="n">
        <x:v>30</x:v>
      </x:c>
      <x:c r="G144" s="56" t="n">
        <x:v>4</x:v>
      </x:c>
      <x:c r="H144" s="56" t="n">
        <x:v>3.1</x:v>
      </x:c>
      <x:c r="I144" s="33" t="n">
        <x:v>0</x:v>
      </x:c>
      <x:c r="J144" s="57" t="n">
        <x:v>13.4</x:v>
      </x:c>
      <x:c r="K144" s="57" t="n">
        <x:f>J144*'Hypothèses &amp; sources'!$E$4</x:f>
        <x:v>13.4</x:v>
      </x:c>
      <x:c r="L144" s="57" t="n">
        <x:f>J144*'Hypothèses &amp; sources'!$F$4</x:f>
        <x:v>14.204</x:v>
      </x:c>
      <x:c r="M144" s="57" t="n">
        <x:f>J144*'Hypothèses &amp; sources'!$G$4</x:f>
        <x:v>14.740000000000002</x:v>
      </x:c>
      <x:c r="N144" s="57" t="n">
        <x:f>J144*'Hypothèses &amp; sources'!$H$4</x:f>
        <x:v>14.874000000000002</x:v>
      </x:c>
      <x:c r="O144" s="57" t="n">
        <x:f>J144*'Hypothèses &amp; sources'!$I$4</x:f>
        <x:v>16.616</x:v>
      </x:c>
      <x:c r="P144" s="57" t="str">
        <x:v>Lidl</x:v>
      </x:c>
      <x:c r="Q144" s="57" t="n">
        <x:f>IF(P144="Lidl",K144,IF(P144="Super U",L144,IF(P144="Carrefour",M144,IF(P144="Auchan",N144,O144))))</x:f>
        <x:v>13.4</x:v>
      </x:c>
      <x:c r="R144" s="57" t="n">
        <x:f>Q144/'Hypothèses &amp; sources'!$B$4</x:f>
        <x:v>3.35</x:v>
      </x:c>
      <x:c r="S144" s="56" t="n">
        <x:f>MAX(0,'Hypothèses &amp; sources'!$B$5*MAX(0,MIN(100,'Hypothèses &amp; sources'!$B$10-R144*'Hypothèses &amp; sources'!$B$9))+'Hypothèses &amp; sources'!$B$6*(G144/5*100)+'Hypothèses &amp; sources'!$B$7*(H144/5*100)+'Hypothèses &amp; sources'!$B$8*MAX(0,MIN(100,'Hypothèses &amp; sources'!$B$12-E144*'Hypothèses &amp; sources'!$B$11))-T144)</x:f>
        <x:v>70.796</x:v>
      </x:c>
      <x:c r="T144" s="33" t="n">
        <x:v>0</x:v>
      </x:c>
    </x:row>
    <x:row r="145">
      <x:c r="A145" s="33" t="n">
        <x:v>141</x:v>
      </x:c>
      <x:c r="B145" s="38" t="str">
        <x:v>Jambalaya</x:v>
      </x:c>
      <x:c r="C145" s="38" t="str">
        <x:v>Riz / plat complet</x:v>
      </x:c>
      <x:c r="D145" s="38" t="str">
        <x:v>riz, poulet, saucisse, crevettes, tomate, céleri, poivron</x:v>
      </x:c>
      <x:c r="E145" s="33" t="n">
        <x:v>25</x:v>
      </x:c>
      <x:c r="F145" s="33" t="n">
        <x:v>50</x:v>
      </x:c>
      <x:c r="G145" s="56" t="n">
        <x:v>4.8</x:v>
      </x:c>
      <x:c r="H145" s="56" t="n">
        <x:v>4</x:v>
      </x:c>
      <x:c r="I145" s="33" t="n">
        <x:v>1</x:v>
      </x:c>
      <x:c r="J145" s="57" t="n">
        <x:v>17.5</x:v>
      </x:c>
      <x:c r="K145" s="57" t="n">
        <x:f>J145*'Hypothèses &amp; sources'!$E$4</x:f>
        <x:v>17.5</x:v>
      </x:c>
      <x:c r="L145" s="57" t="n">
        <x:f>J145*'Hypothèses &amp; sources'!$F$4</x:f>
        <x:v>18.55</x:v>
      </x:c>
      <x:c r="M145" s="57" t="n">
        <x:f>J145*'Hypothèses &amp; sources'!$G$4</x:f>
        <x:v>19.25</x:v>
      </x:c>
      <x:c r="N145" s="57" t="n">
        <x:f>J145*'Hypothèses &amp; sources'!$H$4</x:f>
        <x:v>19.425</x:v>
      </x:c>
      <x:c r="O145" s="57" t="n">
        <x:f>J145*'Hypothèses &amp; sources'!$I$4</x:f>
        <x:v>21.7</x:v>
      </x:c>
      <x:c r="P145" s="57" t="str">
        <x:v>Super U</x:v>
      </x:c>
      <x:c r="Q145" s="57" t="n">
        <x:f>IF(P145="Lidl",K145,IF(P145="Super U",L145,IF(P145="Carrefour",M145,IF(P145="Auchan",N145,O145))))</x:f>
        <x:v>18.55</x:v>
      </x:c>
      <x:c r="R145" s="57" t="n">
        <x:f>Q145/'Hypothèses &amp; sources'!$B$4</x:f>
        <x:v>4.6375</x:v>
      </x:c>
      <x:c r="S145" s="56" t="n">
        <x:f>MAX(0,'Hypothèses &amp; sources'!$B$5*MAX(0,MIN(100,'Hypothèses &amp; sources'!$B$10-R145*'Hypothèses &amp; sources'!$B$9))+'Hypothèses &amp; sources'!$B$6*(G145/5*100)+'Hypothèses &amp; sources'!$B$7*(H145/5*100)+'Hypothèses &amp; sources'!$B$8*MAX(0,MIN(100,'Hypothèses &amp; sources'!$B$12-E145*'Hypothèses &amp; sources'!$B$11))-T145)</x:f>
        <x:v>70.707</x:v>
      </x:c>
      <x:c r="T145" s="33" t="n">
        <x:v>0</x:v>
      </x:c>
    </x:row>
    <x:row r="146">
      <x:c r="A146" s="33" t="n">
        <x:v>142</x:v>
      </x:c>
      <x:c r="B146" s="38" t="str">
        <x:v>Shrimp chicken jambalaya</x:v>
      </x:c>
      <x:c r="C146" s="38" t="str">
        <x:v>Plat complet</x:v>
      </x:c>
      <x:c r="D146" s="38" t="str">
        <x:v>riz, crevettes</x:v>
      </x:c>
      <x:c r="E146" s="33" t="n">
        <x:v>20</x:v>
      </x:c>
      <x:c r="F146" s="33" t="n">
        <x:v>40</x:v>
      </x:c>
      <x:c r="G146" s="56" t="n">
        <x:v>3.6</x:v>
      </x:c>
      <x:c r="H146" s="56" t="n">
        <x:v>3.5</x:v>
      </x:c>
      <x:c r="I146" s="33" t="n">
        <x:v>1</x:v>
      </x:c>
      <x:c r="J146" s="57" t="n">
        <x:v>12.3</x:v>
      </x:c>
      <x:c r="K146" s="57" t="n">
        <x:f>J146*'Hypothèses &amp; sources'!$E$4</x:f>
        <x:v>12.3</x:v>
      </x:c>
      <x:c r="L146" s="57" t="n">
        <x:f>J146*'Hypothèses &amp; sources'!$F$4</x:f>
        <x:v>13.038000000000002</x:v>
      </x:c>
      <x:c r="M146" s="57" t="n">
        <x:f>J146*'Hypothèses &amp; sources'!$G$4</x:f>
        <x:v>13.530000000000001</x:v>
      </x:c>
      <x:c r="N146" s="57" t="n">
        <x:f>J146*'Hypothèses &amp; sources'!$H$4</x:f>
        <x:v>13.653000000000002</x:v>
      </x:c>
      <x:c r="O146" s="57" t="n">
        <x:f>J146*'Hypothèses &amp; sources'!$I$4</x:f>
        <x:v>15.252</x:v>
      </x:c>
      <x:c r="P146" s="57" t="str">
        <x:v>Super U</x:v>
      </x:c>
      <x:c r="Q146" s="57" t="n">
        <x:f>IF(P146="Lidl",K146,IF(P146="Super U",L146,IF(P146="Carrefour",M146,IF(P146="Auchan",N146,O146))))</x:f>
        <x:v>13.038000000000002</x:v>
      </x:c>
      <x:c r="R146" s="57" t="n">
        <x:f>Q146/'Hypothèses &amp; sources'!$B$4</x:f>
        <x:v>3.2595000000000005</x:v>
      </x:c>
      <x:c r="S146" s="56" t="n">
        <x:f>MAX(0,'Hypothèses &amp; sources'!$B$5*MAX(0,MIN(100,'Hypothèses &amp; sources'!$B$10-R146*'Hypothèses &amp; sources'!$B$9))+'Hypothèses &amp; sources'!$B$6*(G146/5*100)+'Hypothèses &amp; sources'!$B$7*(H146/5*100)+'Hypothèses &amp; sources'!$B$8*MAX(0,MIN(100,'Hypothèses &amp; sources'!$B$12-E146*'Hypothèses &amp; sources'!$B$11))-T146)</x:f>
        <x:v>70.45212</x:v>
      </x:c>
      <x:c r="T146" s="33" t="n">
        <x:v>0</x:v>
      </x:c>
    </x:row>
    <x:row r="147">
      <x:c r="A147" s="33" t="n">
        <x:v>143</x:v>
      </x:c>
      <x:c r="B147" s="38" t="str">
        <x:v>Trempette au fromage à la bière</x:v>
      </x:c>
      <x:c r="C147" s="38" t="str">
        <x:v>Apéritif / tartinade</x:v>
      </x:c>
      <x:c r="D147" s="38" t="str">
        <x:v>crème / fromage, bière</x:v>
      </x:c>
      <x:c r="E147" s="33" t="n">
        <x:v>10</x:v>
      </x:c>
      <x:c r="F147" s="33" t="n">
        <x:v>25</x:v>
      </x:c>
      <x:c r="G147" s="56" t="n">
        <x:v>3.5</x:v>
      </x:c>
      <x:c r="H147" s="56" t="n">
        <x:v>3</x:v>
      </x:c>
      <x:c r="I147" s="33" t="n">
        <x:v>0</x:v>
      </x:c>
      <x:c r="J147" s="57" t="n">
        <x:v>5.6</x:v>
      </x:c>
      <x:c r="K147" s="57" t="n">
        <x:f>J147*'Hypothèses &amp; sources'!$E$4</x:f>
        <x:v>5.6</x:v>
      </x:c>
      <x:c r="L147" s="57" t="n">
        <x:f>J147*'Hypothèses &amp; sources'!$F$4</x:f>
        <x:v>5.936</x:v>
      </x:c>
      <x:c r="M147" s="57" t="n">
        <x:f>J147*'Hypothèses &amp; sources'!$G$4</x:f>
        <x:v>6.16</x:v>
      </x:c>
      <x:c r="N147" s="57" t="n">
        <x:f>J147*'Hypothèses &amp; sources'!$H$4</x:f>
        <x:v>6.216</x:v>
      </x:c>
      <x:c r="O147" s="57" t="n">
        <x:f>J147*'Hypothèses &amp; sources'!$I$4</x:f>
        <x:v>6.944</x:v>
      </x:c>
      <x:c r="P147" s="57" t="str">
        <x:v>Lidl</x:v>
      </x:c>
      <x:c r="Q147" s="57" t="n">
        <x:f>IF(P147="Lidl",K147,IF(P147="Super U",L147,IF(P147="Carrefour",M147,IF(P147="Auchan",N147,O147))))</x:f>
        <x:v>5.6</x:v>
      </x:c>
      <x:c r="R147" s="57" t="n">
        <x:f>Q147/'Hypothèses &amp; sources'!$B$4</x:f>
        <x:v>1.4</x:v>
      </x:c>
      <x:c r="S147" s="56" t="n">
        <x:f>MAX(0,'Hypothèses &amp; sources'!$B$5*MAX(0,MIN(100,'Hypothèses &amp; sources'!$B$10-R147*'Hypothèses &amp; sources'!$B$9))+'Hypothèses &amp; sources'!$B$6*(G147/5*100)+'Hypothèses &amp; sources'!$B$7*(H147/5*100)+'Hypothèses &amp; sources'!$B$8*MAX(0,MIN(100,'Hypothèses &amp; sources'!$B$12-E147*'Hypothèses &amp; sources'!$B$11))-T147)</x:f>
        <x:v>70.104</x:v>
      </x:c>
      <x:c r="T147" s="33" t="n">
        <x:v>10</x:v>
      </x:c>
    </x:row>
    <x:row r="148">
      <x:c r="A148" s="33" t="n">
        <x:v>144</x:v>
      </x:c>
      <x:c r="B148" s="38" t="str">
        <x:v>Beef birria</x:v>
      </x:c>
      <x:c r="C148" s="38" t="str">
        <x:v>Mijoté / curry</x:v>
      </x:c>
      <x:c r="D148" s="38" t="str">
        <x:v>oignon, bouillon, épices, bœuf à mijoter, légumes</x:v>
      </x:c>
      <x:c r="E148" s="33" t="n">
        <x:v>25</x:v>
      </x:c>
      <x:c r="F148" s="33" t="n">
        <x:v>75</x:v>
      </x:c>
      <x:c r="G148" s="56" t="n">
        <x:v>4.4</x:v>
      </x:c>
      <x:c r="H148" s="56" t="n">
        <x:v>3.3</x:v>
      </x:c>
      <x:c r="I148" s="33" t="n">
        <x:v>0</x:v>
      </x:c>
      <x:c r="J148" s="57" t="n">
        <x:v>15.5</x:v>
      </x:c>
      <x:c r="K148" s="57" t="n">
        <x:f>J148*'Hypothèses &amp; sources'!$E$4</x:f>
        <x:v>15.5</x:v>
      </x:c>
      <x:c r="L148" s="57" t="n">
        <x:f>J148*'Hypothèses &amp; sources'!$F$4</x:f>
        <x:v>16.43</x:v>
      </x:c>
      <x:c r="M148" s="57" t="n">
        <x:f>J148*'Hypothèses &amp; sources'!$G$4</x:f>
        <x:v>17.05</x:v>
      </x:c>
      <x:c r="N148" s="57" t="n">
        <x:f>J148*'Hypothèses &amp; sources'!$H$4</x:f>
        <x:v>17.205000000000002</x:v>
      </x:c>
      <x:c r="O148" s="57" t="n">
        <x:f>J148*'Hypothèses &amp; sources'!$I$4</x:f>
        <x:v>19.22</x:v>
      </x:c>
      <x:c r="P148" s="57" t="str">
        <x:v>Lidl</x:v>
      </x:c>
      <x:c r="Q148" s="57" t="n">
        <x:f>IF(P148="Lidl",K148,IF(P148="Super U",L148,IF(P148="Carrefour",M148,IF(P148="Auchan",N148,O148))))</x:f>
        <x:v>15.5</x:v>
      </x:c>
      <x:c r="R148" s="57" t="n">
        <x:f>Q148/'Hypothèses &amp; sources'!$B$4</x:f>
        <x:v>3.875</x:v>
      </x:c>
      <x:c r="S148" s="56" t="n">
        <x:f>MAX(0,'Hypothèses &amp; sources'!$B$5*MAX(0,MIN(100,'Hypothèses &amp; sources'!$B$10-R148*'Hypothèses &amp; sources'!$B$9))+'Hypothèses &amp; sources'!$B$6*(G148/5*100)+'Hypothèses &amp; sources'!$B$7*(H148/5*100)+'Hypothèses &amp; sources'!$B$8*MAX(0,MIN(100,'Hypothèses &amp; sources'!$B$12-E148*'Hypothèses &amp; sources'!$B$11))-T148)</x:f>
        <x:v>69.78999999999999</x:v>
      </x:c>
      <x:c r="T148" s="33" t="n">
        <x:v>0</x:v>
      </x:c>
    </x:row>
    <x:row r="149">
      <x:c r="A149" s="33" t="n">
        <x:v>145</x:v>
      </x:c>
      <x:c r="B149" s="38" t="str">
        <x:v>Beef stew with root vegetables</x:v>
      </x:c>
      <x:c r="C149" s="38" t="str">
        <x:v>Mijoté / curry</x:v>
      </x:c>
      <x:c r="D149" s="38" t="str">
        <x:v>oignon, bouillon, épices, bœuf à mijoter, légumes</x:v>
      </x:c>
      <x:c r="E149" s="33" t="n">
        <x:v>25</x:v>
      </x:c>
      <x:c r="F149" s="33" t="n">
        <x:v>75</x:v>
      </x:c>
      <x:c r="G149" s="56" t="n">
        <x:v>4.4</x:v>
      </x:c>
      <x:c r="H149" s="56" t="n">
        <x:v>3.3</x:v>
      </x:c>
      <x:c r="I149" s="33" t="n">
        <x:v>0</x:v>
      </x:c>
      <x:c r="J149" s="57" t="n">
        <x:v>15.5</x:v>
      </x:c>
      <x:c r="K149" s="57" t="n">
        <x:f>J149*'Hypothèses &amp; sources'!$E$4</x:f>
        <x:v>15.5</x:v>
      </x:c>
      <x:c r="L149" s="57" t="n">
        <x:f>J149*'Hypothèses &amp; sources'!$F$4</x:f>
        <x:v>16.43</x:v>
      </x:c>
      <x:c r="M149" s="57" t="n">
        <x:f>J149*'Hypothèses &amp; sources'!$G$4</x:f>
        <x:v>17.05</x:v>
      </x:c>
      <x:c r="N149" s="57" t="n">
        <x:f>J149*'Hypothèses &amp; sources'!$H$4</x:f>
        <x:v>17.205000000000002</x:v>
      </x:c>
      <x:c r="O149" s="57" t="n">
        <x:f>J149*'Hypothèses &amp; sources'!$I$4</x:f>
        <x:v>19.22</x:v>
      </x:c>
      <x:c r="P149" s="57" t="str">
        <x:v>Lidl</x:v>
      </x:c>
      <x:c r="Q149" s="57" t="n">
        <x:f>IF(P149="Lidl",K149,IF(P149="Super U",L149,IF(P149="Carrefour",M149,IF(P149="Auchan",N149,O149))))</x:f>
        <x:v>15.5</x:v>
      </x:c>
      <x:c r="R149" s="57" t="n">
        <x:f>Q149/'Hypothèses &amp; sources'!$B$4</x:f>
        <x:v>3.875</x:v>
      </x:c>
      <x:c r="S149" s="56" t="n">
        <x:f>MAX(0,'Hypothèses &amp; sources'!$B$5*MAX(0,MIN(100,'Hypothèses &amp; sources'!$B$10-R149*'Hypothèses &amp; sources'!$B$9))+'Hypothèses &amp; sources'!$B$6*(G149/5*100)+'Hypothèses &amp; sources'!$B$7*(H149/5*100)+'Hypothèses &amp; sources'!$B$8*MAX(0,MIN(100,'Hypothèses &amp; sources'!$B$12-E149*'Hypothèses &amp; sources'!$B$11))-T149)</x:f>
        <x:v>69.78999999999999</x:v>
      </x:c>
      <x:c r="T149" s="33" t="n">
        <x:v>0</x:v>
      </x:c>
    </x:row>
    <x:row r="150">
      <x:c r="A150" s="33" t="n">
        <x:v>146</x:v>
      </x:c>
      <x:c r="B150" s="38" t="str">
        <x:v>Braised beef</x:v>
      </x:c>
      <x:c r="C150" s="38" t="str">
        <x:v>Mijoté / curry</x:v>
      </x:c>
      <x:c r="D150" s="38" t="str">
        <x:v>oignon, bouillon, épices, bœuf à mijoter, légumes</x:v>
      </x:c>
      <x:c r="E150" s="33" t="n">
        <x:v>25</x:v>
      </x:c>
      <x:c r="F150" s="33" t="n">
        <x:v>90</x:v>
      </x:c>
      <x:c r="G150" s="56" t="n">
        <x:v>4.4</x:v>
      </x:c>
      <x:c r="H150" s="56" t="n">
        <x:v>3.3</x:v>
      </x:c>
      <x:c r="I150" s="33" t="n">
        <x:v>0</x:v>
      </x:c>
      <x:c r="J150" s="57" t="n">
        <x:v>15.5</x:v>
      </x:c>
      <x:c r="K150" s="57" t="n">
        <x:f>J150*'Hypothèses &amp; sources'!$E$4</x:f>
        <x:v>15.5</x:v>
      </x:c>
      <x:c r="L150" s="57" t="n">
        <x:f>J150*'Hypothèses &amp; sources'!$F$4</x:f>
        <x:v>16.43</x:v>
      </x:c>
      <x:c r="M150" s="57" t="n">
        <x:f>J150*'Hypothèses &amp; sources'!$G$4</x:f>
        <x:v>17.05</x:v>
      </x:c>
      <x:c r="N150" s="57" t="n">
        <x:f>J150*'Hypothèses &amp; sources'!$H$4</x:f>
        <x:v>17.205000000000002</x:v>
      </x:c>
      <x:c r="O150" s="57" t="n">
        <x:f>J150*'Hypothèses &amp; sources'!$I$4</x:f>
        <x:v>19.22</x:v>
      </x:c>
      <x:c r="P150" s="57" t="str">
        <x:v>Lidl</x:v>
      </x:c>
      <x:c r="Q150" s="57" t="n">
        <x:f>IF(P150="Lidl",K150,IF(P150="Super U",L150,IF(P150="Carrefour",M150,IF(P150="Auchan",N150,O150))))</x:f>
        <x:v>15.5</x:v>
      </x:c>
      <x:c r="R150" s="57" t="n">
        <x:f>Q150/'Hypothèses &amp; sources'!$B$4</x:f>
        <x:v>3.875</x:v>
      </x:c>
      <x:c r="S150" s="56" t="n">
        <x:f>MAX(0,'Hypothèses &amp; sources'!$B$5*MAX(0,MIN(100,'Hypothèses &amp; sources'!$B$10-R150*'Hypothèses &amp; sources'!$B$9))+'Hypothèses &amp; sources'!$B$6*(G150/5*100)+'Hypothèses &amp; sources'!$B$7*(H150/5*100)+'Hypothèses &amp; sources'!$B$8*MAX(0,MIN(100,'Hypothèses &amp; sources'!$B$12-E150*'Hypothèses &amp; sources'!$B$11))-T150)</x:f>
        <x:v>69.78999999999999</x:v>
      </x:c>
      <x:c r="T150" s="33" t="n">
        <x:v>0</x:v>
      </x:c>
    </x:row>
    <x:row r="151">
      <x:c r="A151" s="33" t="n">
        <x:v>147</x:v>
      </x:c>
      <x:c r="B151" s="38" t="str">
        <x:v>Ragout de boeuf</x:v>
      </x:c>
      <x:c r="C151" s="38" t="str">
        <x:v>Mijoté / curry</x:v>
      </x:c>
      <x:c r="D151" s="38" t="str">
        <x:v>oignon, bouillon, épices, bœuf à mijoter, légumes</x:v>
      </x:c>
      <x:c r="E151" s="33" t="n">
        <x:v>25</x:v>
      </x:c>
      <x:c r="F151" s="33" t="n">
        <x:v>75</x:v>
      </x:c>
      <x:c r="G151" s="56" t="n">
        <x:v>4.4</x:v>
      </x:c>
      <x:c r="H151" s="56" t="n">
        <x:v>3.3</x:v>
      </x:c>
      <x:c r="I151" s="33" t="n">
        <x:v>0</x:v>
      </x:c>
      <x:c r="J151" s="57" t="n">
        <x:v>15.5</x:v>
      </x:c>
      <x:c r="K151" s="57" t="n">
        <x:f>J151*'Hypothèses &amp; sources'!$E$4</x:f>
        <x:v>15.5</x:v>
      </x:c>
      <x:c r="L151" s="57" t="n">
        <x:f>J151*'Hypothèses &amp; sources'!$F$4</x:f>
        <x:v>16.43</x:v>
      </x:c>
      <x:c r="M151" s="57" t="n">
        <x:f>J151*'Hypothèses &amp; sources'!$G$4</x:f>
        <x:v>17.05</x:v>
      </x:c>
      <x:c r="N151" s="57" t="n">
        <x:f>J151*'Hypothèses &amp; sources'!$H$4</x:f>
        <x:v>17.205000000000002</x:v>
      </x:c>
      <x:c r="O151" s="57" t="n">
        <x:f>J151*'Hypothèses &amp; sources'!$I$4</x:f>
        <x:v>19.22</x:v>
      </x:c>
      <x:c r="P151" s="57" t="str">
        <x:v>Lidl</x:v>
      </x:c>
      <x:c r="Q151" s="57" t="n">
        <x:f>IF(P151="Lidl",K151,IF(P151="Super U",L151,IF(P151="Carrefour",M151,IF(P151="Auchan",N151,O151))))</x:f>
        <x:v>15.5</x:v>
      </x:c>
      <x:c r="R151" s="57" t="n">
        <x:f>Q151/'Hypothèses &amp; sources'!$B$4</x:f>
        <x:v>3.875</x:v>
      </x:c>
      <x:c r="S151" s="56" t="n">
        <x:f>MAX(0,'Hypothèses &amp; sources'!$B$5*MAX(0,MIN(100,'Hypothèses &amp; sources'!$B$10-R151*'Hypothèses &amp; sources'!$B$9))+'Hypothèses &amp; sources'!$B$6*(G151/5*100)+'Hypothèses &amp; sources'!$B$7*(H151/5*100)+'Hypothèses &amp; sources'!$B$8*MAX(0,MIN(100,'Hypothèses &amp; sources'!$B$12-E151*'Hypothèses &amp; sources'!$B$11))-T151)</x:f>
        <x:v>69.78999999999999</x:v>
      </x:c>
      <x:c r="T151" s="33" t="n">
        <x:v>0</x:v>
      </x:c>
    </x:row>
    <x:row r="152">
      <x:c r="A152" s="33" t="n">
        <x:v>148</x:v>
      </x:c>
      <x:c r="B152" s="38" t="str">
        <x:v>Coquilles cremeuses au boeuf</x:v>
      </x:c>
      <x:c r="C152" s="38" t="str">
        <x:v>Plat complet</x:v>
      </x:c>
      <x:c r="D152" s="38" t="str">
        <x:v>pâtes / nouilles, bœuf à mijoter, crème / fromage</x:v>
      </x:c>
      <x:c r="E152" s="33" t="n">
        <x:v>20</x:v>
      </x:c>
      <x:c r="F152" s="33" t="n">
        <x:v>40</x:v>
      </x:c>
      <x:c r="G152" s="56" t="n">
        <x:v>4.6</x:v>
      </x:c>
      <x:c r="H152" s="56" t="n">
        <x:v>3</x:v>
      </x:c>
      <x:c r="I152" s="33" t="n">
        <x:v>0</x:v>
      </x:c>
      <x:c r="J152" s="57" t="n">
        <x:v>16.7</x:v>
      </x:c>
      <x:c r="K152" s="57" t="n">
        <x:f>J152*'Hypothèses &amp; sources'!$E$4</x:f>
        <x:v>16.7</x:v>
      </x:c>
      <x:c r="L152" s="57" t="n">
        <x:f>J152*'Hypothèses &amp; sources'!$F$4</x:f>
        <x:v>17.702</x:v>
      </x:c>
      <x:c r="M152" s="57" t="n">
        <x:f>J152*'Hypothèses &amp; sources'!$G$4</x:f>
        <x:v>18.37</x:v>
      </x:c>
      <x:c r="N152" s="57" t="n">
        <x:f>J152*'Hypothèses &amp; sources'!$H$4</x:f>
        <x:v>18.537000000000003</x:v>
      </x:c>
      <x:c r="O152" s="57" t="n">
        <x:f>J152*'Hypothèses &amp; sources'!$I$4</x:f>
        <x:v>20.708</x:v>
      </x:c>
      <x:c r="P152" s="57" t="str">
        <x:v>Lidl</x:v>
      </x:c>
      <x:c r="Q152" s="57" t="n">
        <x:f>IF(P152="Lidl",K152,IF(P152="Super U",L152,IF(P152="Carrefour",M152,IF(P152="Auchan",N152,O152))))</x:f>
        <x:v>16.7</x:v>
      </x:c>
      <x:c r="R152" s="57" t="n">
        <x:f>Q152/'Hypothèses &amp; sources'!$B$4</x:f>
        <x:v>4.175</x:v>
      </x:c>
      <x:c r="S152" s="56" t="n">
        <x:f>MAX(0,'Hypothèses &amp; sources'!$B$5*MAX(0,MIN(100,'Hypothèses &amp; sources'!$B$10-R152*'Hypothèses &amp; sources'!$B$9))+'Hypothèses &amp; sources'!$B$6*(G152/5*100)+'Hypothèses &amp; sources'!$B$7*(H152/5*100)+'Hypothèses &amp; sources'!$B$8*MAX(0,MIN(100,'Hypothèses &amp; sources'!$B$12-E152*'Hypothèses &amp; sources'!$B$11))-T152)</x:f>
        <x:v>69.638</x:v>
      </x:c>
      <x:c r="T152" s="33" t="n">
        <x:v>0</x:v>
      </x:c>
    </x:row>
    <x:row r="153">
      <x:c r="A153" s="33" t="n">
        <x:v>149</x:v>
      </x:c>
      <x:c r="B153" s="38" t="str">
        <x:v>Tortellinis cremeux au boeuf</x:v>
      </x:c>
      <x:c r="C153" s="38" t="str">
        <x:v>Plat complet</x:v>
      </x:c>
      <x:c r="D153" s="38" t="str">
        <x:v>pâtes / nouilles, bœuf à mijoter, crème / fromage</x:v>
      </x:c>
      <x:c r="E153" s="33" t="n">
        <x:v>20</x:v>
      </x:c>
      <x:c r="F153" s="33" t="n">
        <x:v>40</x:v>
      </x:c>
      <x:c r="G153" s="56" t="n">
        <x:v>4.6</x:v>
      </x:c>
      <x:c r="H153" s="56" t="n">
        <x:v>3</x:v>
      </x:c>
      <x:c r="I153" s="33" t="n">
        <x:v>0</x:v>
      </x:c>
      <x:c r="J153" s="57" t="n">
        <x:v>16.7</x:v>
      </x:c>
      <x:c r="K153" s="57" t="n">
        <x:f>J153*'Hypothèses &amp; sources'!$E$4</x:f>
        <x:v>16.7</x:v>
      </x:c>
      <x:c r="L153" s="57" t="n">
        <x:f>J153*'Hypothèses &amp; sources'!$F$4</x:f>
        <x:v>17.702</x:v>
      </x:c>
      <x:c r="M153" s="57" t="n">
        <x:f>J153*'Hypothèses &amp; sources'!$G$4</x:f>
        <x:v>18.37</x:v>
      </x:c>
      <x:c r="N153" s="57" t="n">
        <x:f>J153*'Hypothèses &amp; sources'!$H$4</x:f>
        <x:v>18.537000000000003</x:v>
      </x:c>
      <x:c r="O153" s="57" t="n">
        <x:f>J153*'Hypothèses &amp; sources'!$I$4</x:f>
        <x:v>20.708</x:v>
      </x:c>
      <x:c r="P153" s="57" t="str">
        <x:v>Lidl</x:v>
      </x:c>
      <x:c r="Q153" s="57" t="n">
        <x:f>IF(P153="Lidl",K153,IF(P153="Super U",L153,IF(P153="Carrefour",M153,IF(P153="Auchan",N153,O153))))</x:f>
        <x:v>16.7</x:v>
      </x:c>
      <x:c r="R153" s="57" t="n">
        <x:f>Q153/'Hypothèses &amp; sources'!$B$4</x:f>
        <x:v>4.175</x:v>
      </x:c>
      <x:c r="S153" s="56" t="n">
        <x:f>MAX(0,'Hypothèses &amp; sources'!$B$5*MAX(0,MIN(100,'Hypothèses &amp; sources'!$B$10-R153*'Hypothèses &amp; sources'!$B$9))+'Hypothèses &amp; sources'!$B$6*(G153/5*100)+'Hypothèses &amp; sources'!$B$7*(H153/5*100)+'Hypothèses &amp; sources'!$B$8*MAX(0,MIN(100,'Hypothèses &amp; sources'!$B$12-E153*'Hypothèses &amp; sources'!$B$11))-T153)</x:f>
        <x:v>69.638</x:v>
      </x:c>
      <x:c r="T153" s="33" t="n">
        <x:v>0</x:v>
      </x:c>
    </x:row>
    <x:row r="154">
      <x:c r="A154" s="33" t="n">
        <x:v>150</x:v>
      </x:c>
      <x:c r="B154" s="38" t="str">
        <x:v>Ragout de poisson</x:v>
      </x:c>
      <x:c r="C154" s="38" t="str">
        <x:v>Mijoté / curry</x:v>
      </x:c>
      <x:c r="D154" s="38" t="str">
        <x:v>oignon, bouillon, épices, poisson blanc, légumes</x:v>
      </x:c>
      <x:c r="E154" s="33" t="n">
        <x:v>25</x:v>
      </x:c>
      <x:c r="F154" s="33" t="n">
        <x:v>75</x:v>
      </x:c>
      <x:c r="G154" s="56" t="n">
        <x:v>3.6</x:v>
      </x:c>
      <x:c r="H154" s="56" t="n">
        <x:v>3.8</x:v>
      </x:c>
      <x:c r="I154" s="33" t="n">
        <x:v>1</x:v>
      </x:c>
      <x:c r="J154" s="57" t="n">
        <x:v>13</x:v>
      </x:c>
      <x:c r="K154" s="57" t="n">
        <x:f>J154*'Hypothèses &amp; sources'!$E$4</x:f>
        <x:v>13</x:v>
      </x:c>
      <x:c r="L154" s="57" t="n">
        <x:f>J154*'Hypothèses &amp; sources'!$F$4</x:f>
        <x:v>13.780000000000001</x:v>
      </x:c>
      <x:c r="M154" s="57" t="n">
        <x:f>J154*'Hypothèses &amp; sources'!$G$4</x:f>
        <x:v>14.3</x:v>
      </x:c>
      <x:c r="N154" s="57" t="n">
        <x:f>J154*'Hypothèses &amp; sources'!$H$4</x:f>
        <x:v>14.430000000000001</x:v>
      </x:c>
      <x:c r="O154" s="57" t="n">
        <x:f>J154*'Hypothèses &amp; sources'!$I$4</x:f>
        <x:v>16.12</x:v>
      </x:c>
      <x:c r="P154" s="57" t="str">
        <x:v>Super U</x:v>
      </x:c>
      <x:c r="Q154" s="57" t="n">
        <x:f>IF(P154="Lidl",K154,IF(P154="Super U",L154,IF(P154="Carrefour",M154,IF(P154="Auchan",N154,O154))))</x:f>
        <x:v>13.780000000000001</x:v>
      </x:c>
      <x:c r="R154" s="57" t="n">
        <x:f>Q154/'Hypothèses &amp; sources'!$B$4</x:f>
        <x:v>3.4450000000000003</x:v>
      </x:c>
      <x:c r="S154" s="56" t="n">
        <x:f>MAX(0,'Hypothèses &amp; sources'!$B$5*MAX(0,MIN(100,'Hypothèses &amp; sources'!$B$10-R154*'Hypothèses &amp; sources'!$B$9))+'Hypothèses &amp; sources'!$B$6*(G154/5*100)+'Hypothèses &amp; sources'!$B$7*(H154/5*100)+'Hypothèses &amp; sources'!$B$8*MAX(0,MIN(100,'Hypothèses &amp; sources'!$B$12-E154*'Hypothèses &amp; sources'!$B$11))-T154)</x:f>
        <x:v>69.2772</x:v>
      </x:c>
      <x:c r="T154" s="33" t="n">
        <x:v>0</x:v>
      </x:c>
    </x:row>
    <x:row r="155">
      <x:c r="A155" s="33" t="n">
        <x:v>151</x:v>
      </x:c>
      <x:c r="B155" s="38" t="str">
        <x:v>Spicy beef vegetable stew</x:v>
      </x:c>
      <x:c r="C155" s="38" t="str">
        <x:v>Mijoté / curry</x:v>
      </x:c>
      <x:c r="D155" s="38" t="str">
        <x:v>piment / chili, oignon, bouillon, épices, bœuf à mijoter, légumes</x:v>
      </x:c>
      <x:c r="E155" s="33" t="n">
        <x:v>25</x:v>
      </x:c>
      <x:c r="F155" s="33" t="n">
        <x:v>75</x:v>
      </x:c>
      <x:c r="G155" s="56" t="n">
        <x:v>4.4</x:v>
      </x:c>
      <x:c r="H155" s="56" t="n">
        <x:v>3.3</x:v>
      </x:c>
      <x:c r="I155" s="33" t="n">
        <x:v>0</x:v>
      </x:c>
      <x:c r="J155" s="57" t="n">
        <x:v>16</x:v>
      </x:c>
      <x:c r="K155" s="57" t="n">
        <x:f>J155*'Hypothèses &amp; sources'!$E$4</x:f>
        <x:v>16</x:v>
      </x:c>
      <x:c r="L155" s="57" t="n">
        <x:f>J155*'Hypothèses &amp; sources'!$F$4</x:f>
        <x:v>16.96</x:v>
      </x:c>
      <x:c r="M155" s="57" t="n">
        <x:f>J155*'Hypothèses &amp; sources'!$G$4</x:f>
        <x:v>17.6</x:v>
      </x:c>
      <x:c r="N155" s="57" t="n">
        <x:f>J155*'Hypothèses &amp; sources'!$H$4</x:f>
        <x:v>17.76</x:v>
      </x:c>
      <x:c r="O155" s="57" t="n">
        <x:f>J155*'Hypothèses &amp; sources'!$I$4</x:f>
        <x:v>19.84</x:v>
      </x:c>
      <x:c r="P155" s="57" t="str">
        <x:v>Lidl</x:v>
      </x:c>
      <x:c r="Q155" s="57" t="n">
        <x:f>IF(P155="Lidl",K155,IF(P155="Super U",L155,IF(P155="Carrefour",M155,IF(P155="Auchan",N155,O155))))</x:f>
        <x:v>16</x:v>
      </x:c>
      <x:c r="R155" s="57" t="n">
        <x:f>Q155/'Hypothèses &amp; sources'!$B$4</x:f>
        <x:v>4</x:v>
      </x:c>
      <x:c r="S155" s="56" t="n">
        <x:f>MAX(0,'Hypothèses &amp; sources'!$B$5*MAX(0,MIN(100,'Hypothèses &amp; sources'!$B$10-R155*'Hypothèses &amp; sources'!$B$9))+'Hypothèses &amp; sources'!$B$6*(G155/5*100)+'Hypothèses &amp; sources'!$B$7*(H155/5*100)+'Hypothèses &amp; sources'!$B$8*MAX(0,MIN(100,'Hypothèses &amp; sources'!$B$12-E155*'Hypothèses &amp; sources'!$B$11))-T155)</x:f>
        <x:v>69.16</x:v>
      </x:c>
      <x:c r="T155" s="33" t="n">
        <x:v>0</x:v>
      </x:c>
    </x:row>
    <x:row r="156">
      <x:c r="A156" s="33" t="n">
        <x:v>152</x:v>
      </x:c>
      <x:c r="B156" s="38" t="str">
        <x:v>Tacos au boeuf effiloché</x:v>
      </x:c>
      <x:c r="C156" s="38" t="str">
        <x:v>Tacos / sandwich</x:v>
      </x:c>
      <x:c r="D156" s="38" t="str">
        <x:v>tortillas ou pain, crudités, sauce, bœuf à mijoter</x:v>
      </x:c>
      <x:c r="E156" s="33" t="n">
        <x:v>20</x:v>
      </x:c>
      <x:c r="F156" s="33" t="n">
        <x:v>30</x:v>
      </x:c>
      <x:c r="G156" s="56" t="n">
        <x:v>4</x:v>
      </x:c>
      <x:c r="H156" s="56" t="n">
        <x:v>3.1</x:v>
      </x:c>
      <x:c r="I156" s="33" t="n">
        <x:v>0</x:v>
      </x:c>
      <x:c r="J156" s="57" t="n">
        <x:v>14.8</x:v>
      </x:c>
      <x:c r="K156" s="57" t="n">
        <x:f>J156*'Hypothèses &amp; sources'!$E$4</x:f>
        <x:v>14.8</x:v>
      </x:c>
      <x:c r="L156" s="57" t="n">
        <x:f>J156*'Hypothèses &amp; sources'!$F$4</x:f>
        <x:v>15.688000000000002</x:v>
      </x:c>
      <x:c r="M156" s="57" t="n">
        <x:f>J156*'Hypothèses &amp; sources'!$G$4</x:f>
        <x:v>16.28</x:v>
      </x:c>
      <x:c r="N156" s="57" t="n">
        <x:f>J156*'Hypothèses &amp; sources'!$H$4</x:f>
        <x:v>16.428</x:v>
      </x:c>
      <x:c r="O156" s="57" t="n">
        <x:f>J156*'Hypothèses &amp; sources'!$I$4</x:f>
        <x:v>18.352</x:v>
      </x:c>
      <x:c r="P156" s="57" t="str">
        <x:v>Lidl</x:v>
      </x:c>
      <x:c r="Q156" s="57" t="n">
        <x:f>IF(P156="Lidl",K156,IF(P156="Super U",L156,IF(P156="Carrefour",M156,IF(P156="Auchan",N156,O156))))</x:f>
        <x:v>14.8</x:v>
      </x:c>
      <x:c r="R156" s="57" t="n">
        <x:f>Q156/'Hypothèses &amp; sources'!$B$4</x:f>
        <x:v>3.7</x:v>
      </x:c>
      <x:c r="S156" s="56" t="n">
        <x:f>MAX(0,'Hypothèses &amp; sources'!$B$5*MAX(0,MIN(100,'Hypothèses &amp; sources'!$B$10-R156*'Hypothèses &amp; sources'!$B$9))+'Hypothèses &amp; sources'!$B$6*(G156/5*100)+'Hypothèses &amp; sources'!$B$7*(H156/5*100)+'Hypothèses &amp; sources'!$B$8*MAX(0,MIN(100,'Hypothèses &amp; sources'!$B$12-E156*'Hypothèses &amp; sources'!$B$11))-T156)</x:f>
        <x:v>69.032</x:v>
      </x:c>
      <x:c r="T156" s="33" t="n">
        <x:v>0</x:v>
      </x:c>
    </x:row>
    <x:row r="157">
      <x:c r="A157" s="33" t="n">
        <x:v>153</x:v>
      </x:c>
      <x:c r="B157" s="38" t="str">
        <x:v>Joues de boeuf</x:v>
      </x:c>
      <x:c r="C157" s="38" t="str">
        <x:v>Plat complet</x:v>
      </x:c>
      <x:c r="D157" s="38" t="str">
        <x:v>joues de bœuf</x:v>
      </x:c>
      <x:c r="E157" s="33" t="n">
        <x:v>20</x:v>
      </x:c>
      <x:c r="F157" s="33" t="n">
        <x:v>90</x:v>
      </x:c>
      <x:c r="G157" s="56" t="n">
        <x:v>4.1</x:v>
      </x:c>
      <x:c r="H157" s="56" t="n">
        <x:v>3.1</x:v>
      </x:c>
      <x:c r="I157" s="33" t="n">
        <x:v>1</x:v>
      </x:c>
      <x:c r="J157" s="57" t="n">
        <x:v>14.9</x:v>
      </x:c>
      <x:c r="K157" s="57" t="n">
        <x:f>J157*'Hypothèses &amp; sources'!$E$4</x:f>
        <x:v>14.9</x:v>
      </x:c>
      <x:c r="L157" s="57" t="n">
        <x:f>J157*'Hypothèses &amp; sources'!$F$4</x:f>
        <x:v>15.794</x:v>
      </x:c>
      <x:c r="M157" s="57" t="n">
        <x:f>J157*'Hypothèses &amp; sources'!$G$4</x:f>
        <x:v>16.39</x:v>
      </x:c>
      <x:c r="N157" s="57" t="n">
        <x:f>J157*'Hypothèses &amp; sources'!$H$4</x:f>
        <x:v>16.539</x:v>
      </x:c>
      <x:c r="O157" s="57" t="n">
        <x:f>J157*'Hypothèses &amp; sources'!$I$4</x:f>
        <x:v>18.476</x:v>
      </x:c>
      <x:c r="P157" s="57" t="str">
        <x:v>Super U</x:v>
      </x:c>
      <x:c r="Q157" s="57" t="n">
        <x:f>IF(P157="Lidl",K157,IF(P157="Super U",L157,IF(P157="Carrefour",M157,IF(P157="Auchan",N157,O157))))</x:f>
        <x:v>15.794</x:v>
      </x:c>
      <x:c r="R157" s="57" t="n">
        <x:f>Q157/'Hypothèses &amp; sources'!$B$4</x:f>
        <x:v>3.9485</x:v>
      </x:c>
      <x:c r="S157" s="56" t="n">
        <x:f>MAX(0,'Hypothèses &amp; sources'!$B$5*MAX(0,MIN(100,'Hypothèses &amp; sources'!$B$10-R157*'Hypothèses &amp; sources'!$B$9))+'Hypothèses &amp; sources'!$B$6*(G157/5*100)+'Hypothèses &amp; sources'!$B$7*(H157/5*100)+'Hypothèses &amp; sources'!$B$8*MAX(0,MIN(100,'Hypothèses &amp; sources'!$B$12-E157*'Hypothèses &amp; sources'!$B$11))-T157)</x:f>
        <x:v>68.33955999999999</x:v>
      </x:c>
      <x:c r="T157" s="33" t="n">
        <x:v>0</x:v>
      </x:c>
    </x:row>
    <x:row r="158">
      <x:c r="A158" s="33" t="n">
        <x:v>154</x:v>
      </x:c>
      <x:c r="B158" s="38" t="str">
        <x:v>Easter eggs</x:v>
      </x:c>
      <x:c r="C158" s="38" t="str">
        <x:v>Œufs / snack</x:v>
      </x:c>
      <x:c r="D158" s="38" t="str">
        <x:v>œufs, colorant alimentaire</x:v>
      </x:c>
      <x:c r="E158" s="33" t="n">
        <x:v>15</x:v>
      </x:c>
      <x:c r="F158" s="33" t="n">
        <x:v>25</x:v>
      </x:c>
      <x:c r="G158" s="56" t="n">
        <x:v>3</x:v>
      </x:c>
      <x:c r="H158" s="56" t="n">
        <x:v>3</x:v>
      </x:c>
      <x:c r="I158" s="33" t="n">
        <x:v>0</x:v>
      </x:c>
      <x:c r="J158" s="57" t="n">
        <x:v>4</x:v>
      </x:c>
      <x:c r="K158" s="57" t="n">
        <x:f>J158*'Hypothèses &amp; sources'!$E$4</x:f>
        <x:v>4</x:v>
      </x:c>
      <x:c r="L158" s="57" t="n">
        <x:f>J158*'Hypothèses &amp; sources'!$F$4</x:f>
        <x:v>4.24</x:v>
      </x:c>
      <x:c r="M158" s="57" t="n">
        <x:f>J158*'Hypothèses &amp; sources'!$G$4</x:f>
        <x:v>4.4</x:v>
      </x:c>
      <x:c r="N158" s="57" t="n">
        <x:f>J158*'Hypothèses &amp; sources'!$H$4</x:f>
        <x:v>4.44</x:v>
      </x:c>
      <x:c r="O158" s="57" t="n">
        <x:f>J158*'Hypothèses &amp; sources'!$I$4</x:f>
        <x:v>4.96</x:v>
      </x:c>
      <x:c r="P158" s="57" t="str">
        <x:v>Lidl</x:v>
      </x:c>
      <x:c r="Q158" s="57" t="n">
        <x:f>IF(P158="Lidl",K158,IF(P158="Super U",L158,IF(P158="Carrefour",M158,IF(P158="Auchan",N158,O158))))</x:f>
        <x:v>4</x:v>
      </x:c>
      <x:c r="R158" s="57" t="n">
        <x:f>Q158/'Hypothèses &amp; sources'!$B$4</x:f>
        <x:v>1</x:v>
      </x:c>
      <x:c r="S158" s="56" t="n">
        <x:f>MAX(0,'Hypothèses &amp; sources'!$B$5*MAX(0,MIN(100,'Hypothèses &amp; sources'!$B$10-R158*'Hypothèses &amp; sources'!$B$9))+'Hypothèses &amp; sources'!$B$6*(G158/5*100)+'Hypothèses &amp; sources'!$B$7*(H158/5*100)+'Hypothèses &amp; sources'!$B$8*MAX(0,MIN(100,'Hypothèses &amp; sources'!$B$12-E158*'Hypothèses &amp; sources'!$B$11))-T158)</x:f>
        <x:v>67.99999999999999</x:v>
      </x:c>
      <x:c r="T158" s="33" t="n">
        <x:v>10</x:v>
      </x:c>
    </x:row>
    <x:row r="159">
      <x:c r="A159" s="33" t="n">
        <x:v>155</x:v>
      </x:c>
      <x:c r="B159" s="38" t="str">
        <x:v>Mashed potatoes bites</x:v>
      </x:c>
      <x:c r="C159" s="38" t="str">
        <x:v>Apéritif / snack</x:v>
      </x:c>
      <x:c r="D159" s="38" t="str">
        <x:v>purée de pommes de terre, fromage, œuf, chapelure</x:v>
      </x:c>
      <x:c r="E159" s="33" t="n">
        <x:v>20</x:v>
      </x:c>
      <x:c r="F159" s="33" t="n">
        <x:v>35</x:v>
      </x:c>
      <x:c r="G159" s="56" t="n">
        <x:v>3.7</x:v>
      </x:c>
      <x:c r="H159" s="56" t="n">
        <x:v>2.8</x:v>
      </x:c>
      <x:c r="I159" s="33" t="n">
        <x:v>0</x:v>
      </x:c>
      <x:c r="J159" s="57" t="n">
        <x:v>5.5</x:v>
      </x:c>
      <x:c r="K159" s="57" t="n">
        <x:f>J159*'Hypothèses &amp; sources'!$E$4</x:f>
        <x:v>5.5</x:v>
      </x:c>
      <x:c r="L159" s="57" t="n">
        <x:f>J159*'Hypothèses &amp; sources'!$F$4</x:f>
        <x:v>5.83</x:v>
      </x:c>
      <x:c r="M159" s="57" t="n">
        <x:f>J159*'Hypothèses &amp; sources'!$G$4</x:f>
        <x:v>6.050000000000001</x:v>
      </x:c>
      <x:c r="N159" s="57" t="n">
        <x:f>J159*'Hypothèses &amp; sources'!$H$4</x:f>
        <x:v>6.105</x:v>
      </x:c>
      <x:c r="O159" s="57" t="n">
        <x:f>J159*'Hypothèses &amp; sources'!$I$4</x:f>
        <x:v>6.82</x:v>
      </x:c>
      <x:c r="P159" s="57" t="str">
        <x:v>Lidl</x:v>
      </x:c>
      <x:c r="Q159" s="57" t="n">
        <x:f>IF(P159="Lidl",K159,IF(P159="Super U",L159,IF(P159="Carrefour",M159,IF(P159="Auchan",N159,O159))))</x:f>
        <x:v>5.5</x:v>
      </x:c>
      <x:c r="R159" s="57" t="n">
        <x:f>Q159/'Hypothèses &amp; sources'!$B$4</x:f>
        <x:v>1.375</x:v>
      </x:c>
      <x:c r="S159" s="56" t="n">
        <x:f>MAX(0,'Hypothèses &amp; sources'!$B$5*MAX(0,MIN(100,'Hypothèses &amp; sources'!$B$10-R159*'Hypothèses &amp; sources'!$B$9))+'Hypothèses &amp; sources'!$B$6*(G159/5*100)+'Hypothèses &amp; sources'!$B$7*(H159/5*100)+'Hypothèses &amp; sources'!$B$8*MAX(0,MIN(100,'Hypothèses &amp; sources'!$B$12-E159*'Hypothèses &amp; sources'!$B$11))-T159)</x:f>
        <x:v>67.99</x:v>
      </x:c>
      <x:c r="T159" s="33" t="n">
        <x:v>10</x:v>
      </x:c>
    </x:row>
    <x:row r="160">
      <x:c r="A160" s="33" t="n">
        <x:v>156</x:v>
      </x:c>
      <x:c r="B160" s="38" t="str">
        <x:v>Italian beef</x:v>
      </x:c>
      <x:c r="C160" s="38" t="str">
        <x:v>Plat complet</x:v>
      </x:c>
      <x:c r="D160" s="38" t="str">
        <x:v>rôti / pièce de bœuf</x:v>
      </x:c>
      <x:c r="E160" s="33" t="n">
        <x:v>20</x:v>
      </x:c>
      <x:c r="F160" s="33" t="n">
        <x:v>40</x:v>
      </x:c>
      <x:c r="G160" s="56" t="n">
        <x:v>4</x:v>
      </x:c>
      <x:c r="H160" s="56" t="n">
        <x:v>3.1</x:v>
      </x:c>
      <x:c r="I160" s="33" t="n">
        <x:v>0</x:v>
      </x:c>
      <x:c r="J160" s="57" t="n">
        <x:v>15.9</x:v>
      </x:c>
      <x:c r="K160" s="57" t="n">
        <x:f>J160*'Hypothèses &amp; sources'!$E$4</x:f>
        <x:v>15.9</x:v>
      </x:c>
      <x:c r="L160" s="57" t="n">
        <x:f>J160*'Hypothèses &amp; sources'!$F$4</x:f>
        <x:v>16.854000000000003</x:v>
      </x:c>
      <x:c r="M160" s="57" t="n">
        <x:f>J160*'Hypothèses &amp; sources'!$G$4</x:f>
        <x:v>17.490000000000002</x:v>
      </x:c>
      <x:c r="N160" s="57" t="n">
        <x:f>J160*'Hypothèses &amp; sources'!$H$4</x:f>
        <x:v>17.649</x:v>
      </x:c>
      <x:c r="O160" s="57" t="n">
        <x:f>J160*'Hypothèses &amp; sources'!$I$4</x:f>
        <x:v>19.716</x:v>
      </x:c>
      <x:c r="P160" s="57" t="str">
        <x:v>Lidl</x:v>
      </x:c>
      <x:c r="Q160" s="57" t="n">
        <x:f>IF(P160="Lidl",K160,IF(P160="Super U",L160,IF(P160="Carrefour",M160,IF(P160="Auchan",N160,O160))))</x:f>
        <x:v>15.9</x:v>
      </x:c>
      <x:c r="R160" s="57" t="n">
        <x:f>Q160/'Hypothèses &amp; sources'!$B$4</x:f>
        <x:v>3.975</x:v>
      </x:c>
      <x:c r="S160" s="56" t="n">
        <x:f>MAX(0,'Hypothèses &amp; sources'!$B$5*MAX(0,MIN(100,'Hypothèses &amp; sources'!$B$10-R160*'Hypothèses &amp; sources'!$B$9))+'Hypothèses &amp; sources'!$B$6*(G160/5*100)+'Hypothèses &amp; sources'!$B$7*(H160/5*100)+'Hypothèses &amp; sources'!$B$8*MAX(0,MIN(100,'Hypothèses &amp; sources'!$B$12-E160*'Hypothèses &amp; sources'!$B$11))-T160)</x:f>
        <x:v>67.646</x:v>
      </x:c>
      <x:c r="T160" s="33" t="n">
        <x:v>0</x:v>
      </x:c>
    </x:row>
    <x:row r="161">
      <x:c r="A161" s="33" t="n">
        <x:v>157</x:v>
      </x:c>
      <x:c r="B161" s="38" t="str">
        <x:v>Roti de boeuf américain</x:v>
      </x:c>
      <x:c r="C161" s="38" t="str">
        <x:v>Plat complet</x:v>
      </x:c>
      <x:c r="D161" s="38" t="str">
        <x:v>rôti / pièce de bœuf</x:v>
      </x:c>
      <x:c r="E161" s="33" t="n">
        <x:v>20</x:v>
      </x:c>
      <x:c r="F161" s="33" t="n">
        <x:v>90</x:v>
      </x:c>
      <x:c r="G161" s="56" t="n">
        <x:v>4</x:v>
      </x:c>
      <x:c r="H161" s="56" t="n">
        <x:v>3.1</x:v>
      </x:c>
      <x:c r="I161" s="33" t="n">
        <x:v>0</x:v>
      </x:c>
      <x:c r="J161" s="57" t="n">
        <x:v>15.9</x:v>
      </x:c>
      <x:c r="K161" s="57" t="n">
        <x:f>J161*'Hypothèses &amp; sources'!$E$4</x:f>
        <x:v>15.9</x:v>
      </x:c>
      <x:c r="L161" s="57" t="n">
        <x:f>J161*'Hypothèses &amp; sources'!$F$4</x:f>
        <x:v>16.854000000000003</x:v>
      </x:c>
      <x:c r="M161" s="57" t="n">
        <x:f>J161*'Hypothèses &amp; sources'!$G$4</x:f>
        <x:v>17.490000000000002</x:v>
      </x:c>
      <x:c r="N161" s="57" t="n">
        <x:f>J161*'Hypothèses &amp; sources'!$H$4</x:f>
        <x:v>17.649</x:v>
      </x:c>
      <x:c r="O161" s="57" t="n">
        <x:f>J161*'Hypothèses &amp; sources'!$I$4</x:f>
        <x:v>19.716</x:v>
      </x:c>
      <x:c r="P161" s="57" t="str">
        <x:v>Lidl</x:v>
      </x:c>
      <x:c r="Q161" s="57" t="n">
        <x:f>IF(P161="Lidl",K161,IF(P161="Super U",L161,IF(P161="Carrefour",M161,IF(P161="Auchan",N161,O161))))</x:f>
        <x:v>15.9</x:v>
      </x:c>
      <x:c r="R161" s="57" t="n">
        <x:f>Q161/'Hypothèses &amp; sources'!$B$4</x:f>
        <x:v>3.975</x:v>
      </x:c>
      <x:c r="S161" s="56" t="n">
        <x:f>MAX(0,'Hypothèses &amp; sources'!$B$5*MAX(0,MIN(100,'Hypothèses &amp; sources'!$B$10-R161*'Hypothèses &amp; sources'!$B$9))+'Hypothèses &amp; sources'!$B$6*(G161/5*100)+'Hypothèses &amp; sources'!$B$7*(H161/5*100)+'Hypothèses &amp; sources'!$B$8*MAX(0,MIN(100,'Hypothèses &amp; sources'!$B$12-E161*'Hypothèses &amp; sources'!$B$11))-T161)</x:f>
        <x:v>67.646</x:v>
      </x:c>
      <x:c r="T161" s="33" t="n">
        <x:v>0</x:v>
      </x:c>
    </x:row>
    <x:row r="162">
      <x:c r="A162" s="33" t="n">
        <x:v>158</x:v>
      </x:c>
      <x:c r="B162" s="38" t="str">
        <x:v>Round steak italiano</x:v>
      </x:c>
      <x:c r="C162" s="38" t="str">
        <x:v>Plat complet</x:v>
      </x:c>
      <x:c r="D162" s="38" t="str">
        <x:v>rôti / pièce de bœuf</x:v>
      </x:c>
      <x:c r="E162" s="33" t="n">
        <x:v>20</x:v>
      </x:c>
      <x:c r="F162" s="33" t="n">
        <x:v>40</x:v>
      </x:c>
      <x:c r="G162" s="56" t="n">
        <x:v>4</x:v>
      </x:c>
      <x:c r="H162" s="56" t="n">
        <x:v>3.1</x:v>
      </x:c>
      <x:c r="I162" s="33" t="n">
        <x:v>0</x:v>
      </x:c>
      <x:c r="J162" s="57" t="n">
        <x:v>15.9</x:v>
      </x:c>
      <x:c r="K162" s="57" t="n">
        <x:f>J162*'Hypothèses &amp; sources'!$E$4</x:f>
        <x:v>15.9</x:v>
      </x:c>
      <x:c r="L162" s="57" t="n">
        <x:f>J162*'Hypothèses &amp; sources'!$F$4</x:f>
        <x:v>16.854000000000003</x:v>
      </x:c>
      <x:c r="M162" s="57" t="n">
        <x:f>J162*'Hypothèses &amp; sources'!$G$4</x:f>
        <x:v>17.490000000000002</x:v>
      </x:c>
      <x:c r="N162" s="57" t="n">
        <x:f>J162*'Hypothèses &amp; sources'!$H$4</x:f>
        <x:v>17.649</x:v>
      </x:c>
      <x:c r="O162" s="57" t="n">
        <x:f>J162*'Hypothèses &amp; sources'!$I$4</x:f>
        <x:v>19.716</x:v>
      </x:c>
      <x:c r="P162" s="57" t="str">
        <x:v>Lidl</x:v>
      </x:c>
      <x:c r="Q162" s="57" t="n">
        <x:f>IF(P162="Lidl",K162,IF(P162="Super U",L162,IF(P162="Carrefour",M162,IF(P162="Auchan",N162,O162))))</x:f>
        <x:v>15.9</x:v>
      </x:c>
      <x:c r="R162" s="57" t="n">
        <x:f>Q162/'Hypothèses &amp; sources'!$B$4</x:f>
        <x:v>3.975</x:v>
      </x:c>
      <x:c r="S162" s="56" t="n">
        <x:f>MAX(0,'Hypothèses &amp; sources'!$B$5*MAX(0,MIN(100,'Hypothèses &amp; sources'!$B$10-R162*'Hypothèses &amp; sources'!$B$9))+'Hypothèses &amp; sources'!$B$6*(G162/5*100)+'Hypothèses &amp; sources'!$B$7*(H162/5*100)+'Hypothèses &amp; sources'!$B$8*MAX(0,MIN(100,'Hypothèses &amp; sources'!$B$12-E162*'Hypothèses &amp; sources'!$B$11))-T162)</x:f>
        <x:v>67.646</x:v>
      </x:c>
      <x:c r="T162" s="33" t="n">
        <x:v>0</x:v>
      </x:c>
    </x:row>
    <x:row r="163">
      <x:c r="A163" s="33" t="n">
        <x:v>159</x:v>
      </x:c>
      <x:c r="B163" s="38" t="str">
        <x:v>Tourte à l'aiglefin</x:v>
      </x:c>
      <x:c r="C163" s="38" t="str">
        <x:v>Gratin / farci</x:v>
      </x:c>
      <x:c r="D163" s="38" t="str">
        <x:v>aiglefin / haddock</x:v>
      </x:c>
      <x:c r="E163" s="33" t="n">
        <x:v>25</x:v>
      </x:c>
      <x:c r="F163" s="33" t="n">
        <x:v>55</x:v>
      </x:c>
      <x:c r="G163" s="56" t="n">
        <x:v>3.2</x:v>
      </x:c>
      <x:c r="H163" s="56" t="n">
        <x:v>3.6</x:v>
      </x:c>
      <x:c r="I163" s="33" t="n">
        <x:v>1</x:v>
      </x:c>
      <x:c r="J163" s="57" t="n">
        <x:v>12.1</x:v>
      </x:c>
      <x:c r="K163" s="57" t="n">
        <x:f>J163*'Hypothèses &amp; sources'!$E$4</x:f>
        <x:v>12.1</x:v>
      </x:c>
      <x:c r="L163" s="57" t="n">
        <x:f>J163*'Hypothèses &amp; sources'!$F$4</x:f>
        <x:v>12.826</x:v>
      </x:c>
      <x:c r="M163" s="57" t="n">
        <x:f>J163*'Hypothèses &amp; sources'!$G$4</x:f>
        <x:v>13.31</x:v>
      </x:c>
      <x:c r="N163" s="57" t="n">
        <x:f>J163*'Hypothèses &amp; sources'!$H$4</x:f>
        <x:v>13.431000000000001</x:v>
      </x:c>
      <x:c r="O163" s="57" t="n">
        <x:f>J163*'Hypothèses &amp; sources'!$I$4</x:f>
        <x:v>15.004</x:v>
      </x:c>
      <x:c r="P163" s="57" t="str">
        <x:v>Super U</x:v>
      </x:c>
      <x:c r="Q163" s="57" t="n">
        <x:f>IF(P163="Lidl",K163,IF(P163="Super U",L163,IF(P163="Carrefour",M163,IF(P163="Auchan",N163,O163))))</x:f>
        <x:v>12.826</x:v>
      </x:c>
      <x:c r="R163" s="57" t="n">
        <x:f>Q163/'Hypothèses &amp; sources'!$B$4</x:f>
        <x:v>3.2065</x:v>
      </x:c>
      <x:c r="S163" s="56" t="n">
        <x:f>MAX(0,'Hypothèses &amp; sources'!$B$5*MAX(0,MIN(100,'Hypothèses &amp; sources'!$B$10-R163*'Hypothèses &amp; sources'!$B$9))+'Hypothèses &amp; sources'!$B$6*(G163/5*100)+'Hypothèses &amp; sources'!$B$7*(H163/5*100)+'Hypothèses &amp; sources'!$B$8*MAX(0,MIN(100,'Hypothèses &amp; sources'!$B$12-E163*'Hypothèses &amp; sources'!$B$11))-T163)</x:f>
        <x:v>67.51924</x:v>
      </x:c>
      <x:c r="T163" s="33" t="n">
        <x:v>0</x:v>
      </x:c>
    </x:row>
    <x:row r="164">
      <x:c r="A164" s="33" t="n">
        <x:v>160</x:v>
      </x:c>
      <x:c r="B164" s="38" t="str">
        <x:v>Eggplant &amp; olive spread</x:v>
      </x:c>
      <x:c r="C164" s="38" t="str">
        <x:v>Apéritif / tartinade</x:v>
      </x:c>
      <x:c r="D164" s="38" t="str">
        <x:v>aubergine, olives, ail, citron, huile d’olive</x:v>
      </x:c>
      <x:c r="E164" s="33" t="n">
        <x:v>15</x:v>
      </x:c>
      <x:c r="F164" s="33" t="n">
        <x:v>35</x:v>
      </x:c>
      <x:c r="G164" s="56" t="n">
        <x:v>2.5</x:v>
      </x:c>
      <x:c r="H164" s="56" t="n">
        <x:v>4</x:v>
      </x:c>
      <x:c r="I164" s="33" t="n">
        <x:v>0</x:v>
      </x:c>
      <x:c r="J164" s="57" t="n">
        <x:v>5.2</x:v>
      </x:c>
      <x:c r="K164" s="57" t="n">
        <x:f>J164*'Hypothèses &amp; sources'!$E$4</x:f>
        <x:v>5.2</x:v>
      </x:c>
      <x:c r="L164" s="57" t="n">
        <x:f>J164*'Hypothèses &amp; sources'!$F$4</x:f>
        <x:v>5.5120000000000005</x:v>
      </x:c>
      <x:c r="M164" s="57" t="n">
        <x:f>J164*'Hypothèses &amp; sources'!$G$4</x:f>
        <x:v>5.720000000000001</x:v>
      </x:c>
      <x:c r="N164" s="57" t="n">
        <x:f>J164*'Hypothèses &amp; sources'!$H$4</x:f>
        <x:v>5.772000000000001</x:v>
      </x:c>
      <x:c r="O164" s="57" t="n">
        <x:f>J164*'Hypothèses &amp; sources'!$I$4</x:f>
        <x:v>6.448</x:v>
      </x:c>
      <x:c r="P164" s="57" t="str">
        <x:v>Lidl</x:v>
      </x:c>
      <x:c r="Q164" s="57" t="n">
        <x:f>IF(P164="Lidl",K164,IF(P164="Super U",L164,IF(P164="Carrefour",M164,IF(P164="Auchan",N164,O164))))</x:f>
        <x:v>5.2</x:v>
      </x:c>
      <x:c r="R164" s="57" t="n">
        <x:f>Q164/'Hypothèses &amp; sources'!$B$4</x:f>
        <x:v>1.3</x:v>
      </x:c>
      <x:c r="S164" s="56" t="n">
        <x:f>MAX(0,'Hypothèses &amp; sources'!$B$5*MAX(0,MIN(100,'Hypothèses &amp; sources'!$B$10-R164*'Hypothèses &amp; sources'!$B$9))+'Hypothèses &amp; sources'!$B$6*(G164/5*100)+'Hypothèses &amp; sources'!$B$7*(H164/5*100)+'Hypothèses &amp; sources'!$B$8*MAX(0,MIN(100,'Hypothèses &amp; sources'!$B$12-E164*'Hypothèses &amp; sources'!$B$11))-T164)</x:f>
        <x:v>67.288</x:v>
      </x:c>
      <x:c r="T164" s="33" t="n">
        <x:v>10</x:v>
      </x:c>
    </x:row>
    <x:row r="165">
      <x:c r="A165" s="33" t="n">
        <x:v>161</x:v>
      </x:c>
      <x:c r="B165" s="38" t="str">
        <x:v>Creamy shrimp soup</x:v>
      </x:c>
      <x:c r="C165" s="38" t="str">
        <x:v>Soupe / bouillon</x:v>
      </x:c>
      <x:c r="D165" s="38" t="str">
        <x:v>bouillon, oignon, crevettes, crème / fromage, légumes</x:v>
      </x:c>
      <x:c r="E165" s="33" t="n">
        <x:v>15</x:v>
      </x:c>
      <x:c r="F165" s="33" t="n">
        <x:v>35</x:v>
      </x:c>
      <x:c r="G165" s="56" t="n">
        <x:v>3.5</x:v>
      </x:c>
      <x:c r="H165" s="56" t="n">
        <x:v>3.8</x:v>
      </x:c>
      <x:c r="I165" s="33" t="n">
        <x:v>1</x:v>
      </x:c>
      <x:c r="J165" s="57" t="n">
        <x:v>17.2</x:v>
      </x:c>
      <x:c r="K165" s="57" t="n">
        <x:f>J165*'Hypothèses &amp; sources'!$E$4</x:f>
        <x:v>17.2</x:v>
      </x:c>
      <x:c r="L165" s="57" t="n">
        <x:f>J165*'Hypothèses &amp; sources'!$F$4</x:f>
        <x:v>18.232</x:v>
      </x:c>
      <x:c r="M165" s="57" t="n">
        <x:f>J165*'Hypothèses &amp; sources'!$G$4</x:f>
        <x:v>18.92</x:v>
      </x:c>
      <x:c r="N165" s="57" t="n">
        <x:f>J165*'Hypothèses &amp; sources'!$H$4</x:f>
        <x:v>19.092000000000002</x:v>
      </x:c>
      <x:c r="O165" s="57" t="n">
        <x:f>J165*'Hypothèses &amp; sources'!$I$4</x:f>
        <x:v>21.328</x:v>
      </x:c>
      <x:c r="P165" s="57" t="str">
        <x:v>Super U</x:v>
      </x:c>
      <x:c r="Q165" s="57" t="n">
        <x:f>IF(P165="Lidl",K165,IF(P165="Super U",L165,IF(P165="Carrefour",M165,IF(P165="Auchan",N165,O165))))</x:f>
        <x:v>18.232</x:v>
      </x:c>
      <x:c r="R165" s="57" t="n">
        <x:f>Q165/'Hypothèses &amp; sources'!$B$4</x:f>
        <x:v>4.558</x:v>
      </x:c>
      <x:c r="S165" s="56" t="n">
        <x:f>MAX(0,'Hypothèses &amp; sources'!$B$5*MAX(0,MIN(100,'Hypothèses &amp; sources'!$B$10-R165*'Hypothèses &amp; sources'!$B$9))+'Hypothèses &amp; sources'!$B$6*(G165/5*100)+'Hypothèses &amp; sources'!$B$7*(H165/5*100)+'Hypothèses &amp; sources'!$B$8*MAX(0,MIN(100,'Hypothèses &amp; sources'!$B$12-E165*'Hypothèses &amp; sources'!$B$11))-T165)</x:f>
        <x:v>65.74768</x:v>
      </x:c>
      <x:c r="T165" s="33" t="n">
        <x:v>0</x:v>
      </x:c>
    </x:row>
    <x:row r="166">
      <x:c r="A166" s="33" t="n">
        <x:v>162</x:v>
      </x:c>
      <x:c r="B166" s="38" t="str">
        <x:v>Lamb pilaf/plov</x:v>
      </x:c>
      <x:c r="C166" s="38" t="str">
        <x:v>Plat complet</x:v>
      </x:c>
      <x:c r="D166" s="38" t="str">
        <x:v>riz, agneau / mouton</x:v>
      </x:c>
      <x:c r="E166" s="33" t="n">
        <x:v>20</x:v>
      </x:c>
      <x:c r="F166" s="33" t="n">
        <x:v>40</x:v>
      </x:c>
      <x:c r="G166" s="56" t="n">
        <x:v>4.4</x:v>
      </x:c>
      <x:c r="H166" s="56" t="n">
        <x:v>3.1</x:v>
      </x:c>
      <x:c r="I166" s="33" t="n">
        <x:v>1</x:v>
      </x:c>
      <x:c r="J166" s="57" t="n">
        <x:v>18.3</x:v>
      </x:c>
      <x:c r="K166" s="57" t="n">
        <x:f>J166*'Hypothèses &amp; sources'!$E$4</x:f>
        <x:v>18.3</x:v>
      </x:c>
      <x:c r="L166" s="57" t="n">
        <x:f>J166*'Hypothèses &amp; sources'!$F$4</x:f>
        <x:v>19.398000000000003</x:v>
      </x:c>
      <x:c r="M166" s="57" t="n">
        <x:f>J166*'Hypothèses &amp; sources'!$G$4</x:f>
        <x:v>20.130000000000003</x:v>
      </x:c>
      <x:c r="N166" s="57" t="n">
        <x:f>J166*'Hypothèses &amp; sources'!$H$4</x:f>
        <x:v>20.313000000000002</x:v>
      </x:c>
      <x:c r="O166" s="57" t="n">
        <x:f>J166*'Hypothèses &amp; sources'!$I$4</x:f>
        <x:v>22.692</x:v>
      </x:c>
      <x:c r="P166" s="57" t="str">
        <x:v>Super U</x:v>
      </x:c>
      <x:c r="Q166" s="57" t="n">
        <x:f>IF(P166="Lidl",K166,IF(P166="Super U",L166,IF(P166="Carrefour",M166,IF(P166="Auchan",N166,O166))))</x:f>
        <x:v>19.398000000000003</x:v>
      </x:c>
      <x:c r="R166" s="57" t="n">
        <x:f>Q166/'Hypothèses &amp; sources'!$B$4</x:f>
        <x:v>4.849500000000001</x:v>
      </x:c>
      <x:c r="S166" s="56" t="n">
        <x:f>MAX(0,'Hypothèses &amp; sources'!$B$5*MAX(0,MIN(100,'Hypothèses &amp; sources'!$B$10-R166*'Hypothèses &amp; sources'!$B$9))+'Hypothèses &amp; sources'!$B$6*(G166/5*100)+'Hypothèses &amp; sources'!$B$7*(H166/5*100)+'Hypothèses &amp; sources'!$B$8*MAX(0,MIN(100,'Hypothèses &amp; sources'!$B$12-E166*'Hypothèses &amp; sources'!$B$11))-T166)</x:f>
        <x:v>65.47852</x:v>
      </x:c>
      <x:c r="T166" s="33" t="n">
        <x:v>0</x:v>
      </x:c>
    </x:row>
    <x:row r="167">
      <x:c r="A167" s="33" t="n">
        <x:v>163</x:v>
      </x:c>
      <x:c r="B167" s="38" t="str">
        <x:v>Wine-braised pulled beef</x:v>
      </x:c>
      <x:c r="C167" s="38" t="str">
        <x:v>Mijoté / curry</x:v>
      </x:c>
      <x:c r="D167" s="38" t="str">
        <x:v>oignon, bouillon, épices, rôti / pièce de bœuf, légumes</x:v>
      </x:c>
      <x:c r="E167" s="33" t="n">
        <x:v>25</x:v>
      </x:c>
      <x:c r="F167" s="33" t="n">
        <x:v>90</x:v>
      </x:c>
      <x:c r="G167" s="56" t="n">
        <x:v>4.4</x:v>
      </x:c>
      <x:c r="H167" s="56" t="n">
        <x:v>3.3</x:v>
      </x:c>
      <x:c r="I167" s="33" t="n">
        <x:v>0</x:v>
      </x:c>
      <x:c r="J167" s="57" t="n">
        <x:v>19</x:v>
      </x:c>
      <x:c r="K167" s="57" t="n">
        <x:f>J167*'Hypothèses &amp; sources'!$E$4</x:f>
        <x:v>19</x:v>
      </x:c>
      <x:c r="L167" s="57" t="n">
        <x:f>J167*'Hypothèses &amp; sources'!$F$4</x:f>
        <x:v>20.14</x:v>
      </x:c>
      <x:c r="M167" s="57" t="n">
        <x:f>J167*'Hypothèses &amp; sources'!$G$4</x:f>
        <x:v>20.900000000000002</x:v>
      </x:c>
      <x:c r="N167" s="57" t="n">
        <x:f>J167*'Hypothèses &amp; sources'!$H$4</x:f>
        <x:v>21.090000000000003</x:v>
      </x:c>
      <x:c r="O167" s="57" t="n">
        <x:f>J167*'Hypothèses &amp; sources'!$I$4</x:f>
        <x:v>23.56</x:v>
      </x:c>
      <x:c r="P167" s="57" t="str">
        <x:v>Lidl</x:v>
      </x:c>
      <x:c r="Q167" s="57" t="n">
        <x:f>IF(P167="Lidl",K167,IF(P167="Super U",L167,IF(P167="Carrefour",M167,IF(P167="Auchan",N167,O167))))</x:f>
        <x:v>19</x:v>
      </x:c>
      <x:c r="R167" s="57" t="n">
        <x:f>Q167/'Hypothèses &amp; sources'!$B$4</x:f>
        <x:v>4.75</x:v>
      </x:c>
      <x:c r="S167" s="56" t="n">
        <x:f>MAX(0,'Hypothèses &amp; sources'!$B$5*MAX(0,MIN(100,'Hypothèses &amp; sources'!$B$10-R167*'Hypothèses &amp; sources'!$B$9))+'Hypothèses &amp; sources'!$B$6*(G167/5*100)+'Hypothèses &amp; sources'!$B$7*(H167/5*100)+'Hypothèses &amp; sources'!$B$8*MAX(0,MIN(100,'Hypothèses &amp; sources'!$B$12-E167*'Hypothèses &amp; sources'!$B$11))-T167)</x:f>
        <x:v>65.38</x:v>
      </x:c>
      <x:c r="T167" s="33" t="n">
        <x:v>0</x:v>
      </x:c>
    </x:row>
    <x:row r="168">
      <x:c r="A168" s="33" t="n">
        <x:v>164</x:v>
      </x:c>
      <x:c r="B168" s="38" t="str">
        <x:v>Roti de boeuf en cocotte la double moutarde et aux cornichons à l'aneth</x:v>
      </x:c>
      <x:c r="C168" s="38" t="str">
        <x:v>Plat complet</x:v>
      </x:c>
      <x:c r="D168" s="38" t="str">
        <x:v>maïs, rôti / pièce de bœuf, moutarde</x:v>
      </x:c>
      <x:c r="E168" s="33" t="n">
        <x:v>20</x:v>
      </x:c>
      <x:c r="F168" s="33" t="n">
        <x:v>90</x:v>
      </x:c>
      <x:c r="G168" s="56" t="n">
        <x:v>4</x:v>
      </x:c>
      <x:c r="H168" s="56" t="n">
        <x:v>3.1</x:v>
      </x:c>
      <x:c r="I168" s="33" t="n">
        <x:v>0</x:v>
      </x:c>
      <x:c r="J168" s="57" t="n">
        <x:v>18.1</x:v>
      </x:c>
      <x:c r="K168" s="57" t="n">
        <x:f>J168*'Hypothèses &amp; sources'!$E$4</x:f>
        <x:v>18.1</x:v>
      </x:c>
      <x:c r="L168" s="57" t="n">
        <x:f>J168*'Hypothèses &amp; sources'!$F$4</x:f>
        <x:v>19.186000000000003</x:v>
      </x:c>
      <x:c r="M168" s="57" t="n">
        <x:f>J168*'Hypothèses &amp; sources'!$G$4</x:f>
        <x:v>19.910000000000004</x:v>
      </x:c>
      <x:c r="N168" s="57" t="n">
        <x:f>J168*'Hypothèses &amp; sources'!$H$4</x:f>
        <x:v>20.091000000000005</x:v>
      </x:c>
      <x:c r="O168" s="57" t="n">
        <x:f>J168*'Hypothèses &amp; sources'!$I$4</x:f>
        <x:v>22.444000000000003</x:v>
      </x:c>
      <x:c r="P168" s="57" t="str">
        <x:v>Lidl</x:v>
      </x:c>
      <x:c r="Q168" s="57" t="n">
        <x:f>IF(P168="Lidl",K168,IF(P168="Super U",L168,IF(P168="Carrefour",M168,IF(P168="Auchan",N168,O168))))</x:f>
        <x:v>18.1</x:v>
      </x:c>
      <x:c r="R168" s="57" t="n">
        <x:f>Q168/'Hypothèses &amp; sources'!$B$4</x:f>
        <x:v>4.525</x:v>
      </x:c>
      <x:c r="S168" s="56" t="n">
        <x:f>MAX(0,'Hypothèses &amp; sources'!$B$5*MAX(0,MIN(100,'Hypothèses &amp; sources'!$B$10-R168*'Hypothèses &amp; sources'!$B$9))+'Hypothèses &amp; sources'!$B$6*(G168/5*100)+'Hypothèses &amp; sources'!$B$7*(H168/5*100)+'Hypothèses &amp; sources'!$B$8*MAX(0,MIN(100,'Hypothèses &amp; sources'!$B$12-E168*'Hypothèses &amp; sources'!$B$11))-T168)</x:f>
        <x:v>64.874</x:v>
      </x:c>
      <x:c r="T168" s="33" t="n">
        <x:v>0</x:v>
      </x:c>
    </x:row>
    <x:row r="169">
      <x:c r="A169" s="33" t="n">
        <x:v>165</x:v>
      </x:c>
      <x:c r="B169" s="38" t="str">
        <x:v>Salmon with chili-lime sauce</x:v>
      </x:c>
      <x:c r="C169" s="38" t="str">
        <x:v>Plat complet</x:v>
      </x:c>
      <x:c r="D169" s="38" t="str">
        <x:v>piment / chili, citron vert, saumon</x:v>
      </x:c>
      <x:c r="E169" s="33" t="n">
        <x:v>20</x:v>
      </x:c>
      <x:c r="F169" s="33" t="n">
        <x:v>40</x:v>
      </x:c>
      <x:c r="G169" s="56" t="n">
        <x:v>3.2</x:v>
      </x:c>
      <x:c r="H169" s="56" t="n">
        <x:v>3.7</x:v>
      </x:c>
      <x:c r="I169" s="33" t="n">
        <x:v>1</x:v>
      </x:c>
      <x:c r="J169" s="57" t="n">
        <x:v>15.6</x:v>
      </x:c>
      <x:c r="K169" s="57" t="n">
        <x:f>J169*'Hypothèses &amp; sources'!$E$4</x:f>
        <x:v>15.6</x:v>
      </x:c>
      <x:c r="L169" s="57" t="n">
        <x:f>J169*'Hypothèses &amp; sources'!$F$4</x:f>
        <x:v>16.536</x:v>
      </x:c>
      <x:c r="M169" s="57" t="n">
        <x:f>J169*'Hypothèses &amp; sources'!$G$4</x:f>
        <x:v>17.16</x:v>
      </x:c>
      <x:c r="N169" s="57" t="n">
        <x:f>J169*'Hypothèses &amp; sources'!$H$4</x:f>
        <x:v>17.316000000000003</x:v>
      </x:c>
      <x:c r="O169" s="57" t="n">
        <x:f>J169*'Hypothèses &amp; sources'!$I$4</x:f>
        <x:v>19.344</x:v>
      </x:c>
      <x:c r="P169" s="57" t="str">
        <x:v>Super U</x:v>
      </x:c>
      <x:c r="Q169" s="57" t="n">
        <x:f>IF(P169="Lidl",K169,IF(P169="Super U",L169,IF(P169="Carrefour",M169,IF(P169="Auchan",N169,O169))))</x:f>
        <x:v>16.536</x:v>
      </x:c>
      <x:c r="R169" s="57" t="n">
        <x:f>Q169/'Hypothèses &amp; sources'!$B$4</x:f>
        <x:v>4.134</x:v>
      </x:c>
      <x:c r="S169" s="56" t="n">
        <x:f>MAX(0,'Hypothèses &amp; sources'!$B$5*MAX(0,MIN(100,'Hypothèses &amp; sources'!$B$10-R169*'Hypothèses &amp; sources'!$B$9))+'Hypothèses &amp; sources'!$B$6*(G169/5*100)+'Hypothèses &amp; sources'!$B$7*(H169/5*100)+'Hypothèses &amp; sources'!$B$8*MAX(0,MIN(100,'Hypothèses &amp; sources'!$B$12-E169*'Hypothèses &amp; sources'!$B$11))-T169)</x:f>
        <x:v>64.52463999999999</x:v>
      </x:c>
      <x:c r="T169" s="33" t="n">
        <x:v>0</x:v>
      </x:c>
    </x:row>
    <x:row r="170">
      <x:c r="A170" s="33" t="n">
        <x:v>166</x:v>
      </x:c>
      <x:c r="B170" s="38" t="str">
        <x:v>Brisket with gravy</x:v>
      </x:c>
      <x:c r="C170" s="38" t="str">
        <x:v>Plat complet</x:v>
      </x:c>
      <x:c r="D170" s="38" t="str">
        <x:v>poitrine de bœuf / brisket</x:v>
      </x:c>
      <x:c r="E170" s="33" t="n">
        <x:v>20</x:v>
      </x:c>
      <x:c r="F170" s="33" t="n">
        <x:v>90</x:v>
      </x:c>
      <x:c r="G170" s="56" t="n">
        <x:v>4.1</x:v>
      </x:c>
      <x:c r="H170" s="56" t="n">
        <x:v>3.1</x:v>
      </x:c>
      <x:c r="I170" s="33" t="n">
        <x:v>1</x:v>
      </x:c>
      <x:c r="J170" s="57" t="n">
        <x:v>17.9</x:v>
      </x:c>
      <x:c r="K170" s="57" t="n">
        <x:f>J170*'Hypothèses &amp; sources'!$E$4</x:f>
        <x:v>17.9</x:v>
      </x:c>
      <x:c r="L170" s="57" t="n">
        <x:f>J170*'Hypothèses &amp; sources'!$F$4</x:f>
        <x:v>18.974</x:v>
      </x:c>
      <x:c r="M170" s="57" t="n">
        <x:f>J170*'Hypothèses &amp; sources'!$G$4</x:f>
        <x:v>19.69</x:v>
      </x:c>
      <x:c r="N170" s="57" t="n">
        <x:f>J170*'Hypothèses &amp; sources'!$H$4</x:f>
        <x:v>19.869</x:v>
      </x:c>
      <x:c r="O170" s="57" t="n">
        <x:f>J170*'Hypothèses &amp; sources'!$I$4</x:f>
        <x:v>22.195999999999998</x:v>
      </x:c>
      <x:c r="P170" s="57" t="str">
        <x:v>Super U</x:v>
      </x:c>
      <x:c r="Q170" s="57" t="n">
        <x:f>IF(P170="Lidl",K170,IF(P170="Super U",L170,IF(P170="Carrefour",M170,IF(P170="Auchan",N170,O170))))</x:f>
        <x:v>18.974</x:v>
      </x:c>
      <x:c r="R170" s="57" t="n">
        <x:f>Q170/'Hypothèses &amp; sources'!$B$4</x:f>
        <x:v>4.7435</x:v>
      </x:c>
      <x:c r="S170" s="56" t="n">
        <x:f>MAX(0,'Hypothèses &amp; sources'!$B$5*MAX(0,MIN(100,'Hypothèses &amp; sources'!$B$10-R170*'Hypothèses &amp; sources'!$B$9))+'Hypothèses &amp; sources'!$B$6*(G170/5*100)+'Hypothèses &amp; sources'!$B$7*(H170/5*100)+'Hypothèses &amp; sources'!$B$8*MAX(0,MIN(100,'Hypothèses &amp; sources'!$B$12-E170*'Hypothèses &amp; sources'!$B$11))-T170)</x:f>
        <x:v>64.33276000000001</x:v>
      </x:c>
      <x:c r="T170" s="33" t="n">
        <x:v>0</x:v>
      </x:c>
    </x:row>
    <x:row r="171">
      <x:c r="A171" s="33" t="n">
        <x:v>167</x:v>
      </x:c>
      <x:c r="B171" s="38" t="str">
        <x:v>Rouleaux de poulet Buffalo</x:v>
      </x:c>
      <x:c r="C171" s="38" t="str">
        <x:v>Apéritif / poulet</x:v>
      </x:c>
      <x:c r="D171" s="38" t="str">
        <x:v>poulet, tortillas ou feuilles, sauce Buffalo, fromage</x:v>
      </x:c>
      <x:c r="E171" s="33" t="n">
        <x:v>20</x:v>
      </x:c>
      <x:c r="F171" s="33" t="n">
        <x:v>35</x:v>
      </x:c>
      <x:c r="G171" s="56" t="n">
        <x:v>4</x:v>
      </x:c>
      <x:c r="H171" s="56" t="n">
        <x:v>3</x:v>
      </x:c>
      <x:c r="I171" s="33" t="n">
        <x:v>1</x:v>
      </x:c>
      <x:c r="J171" s="57" t="n">
        <x:v>10</x:v>
      </x:c>
      <x:c r="K171" s="57" t="n">
        <x:f>J171*'Hypothèses &amp; sources'!$E$4</x:f>
        <x:v>10</x:v>
      </x:c>
      <x:c r="L171" s="57" t="n">
        <x:f>J171*'Hypothèses &amp; sources'!$F$4</x:f>
        <x:v>10.600000000000001</x:v>
      </x:c>
      <x:c r="M171" s="57" t="n">
        <x:f>J171*'Hypothèses &amp; sources'!$G$4</x:f>
        <x:v>11</x:v>
      </x:c>
      <x:c r="N171" s="57" t="n">
        <x:f>J171*'Hypothèses &amp; sources'!$H$4</x:f>
        <x:v>11.100000000000001</x:v>
      </x:c>
      <x:c r="O171" s="57" t="n">
        <x:f>J171*'Hypothèses &amp; sources'!$I$4</x:f>
        <x:v>12.4</x:v>
      </x:c>
      <x:c r="P171" s="57" t="str">
        <x:v>Super U</x:v>
      </x:c>
      <x:c r="Q171" s="57" t="n">
        <x:f>IF(P171="Lidl",K171,IF(P171="Super U",L171,IF(P171="Carrefour",M171,IF(P171="Auchan",N171,O171))))</x:f>
        <x:v>10.600000000000001</x:v>
      </x:c>
      <x:c r="R171" s="57" t="n">
        <x:f>Q171/'Hypothèses &amp; sources'!$B$4</x:f>
        <x:v>2.6500000000000004</x:v>
      </x:c>
      <x:c r="S171" s="56" t="n">
        <x:f>MAX(0,'Hypothèses &amp; sources'!$B$5*MAX(0,MIN(100,'Hypothèses &amp; sources'!$B$10-R171*'Hypothèses &amp; sources'!$B$9))+'Hypothèses &amp; sources'!$B$6*(G171/5*100)+'Hypothèses &amp; sources'!$B$7*(H171/5*100)+'Hypothèses &amp; sources'!$B$8*MAX(0,MIN(100,'Hypothèses &amp; sources'!$B$12-E171*'Hypothèses &amp; sources'!$B$11))-T171)</x:f>
        <x:v>63.964</x:v>
      </x:c>
      <x:c r="T171" s="33" t="n">
        <x:v>10</x:v>
      </x:c>
    </x:row>
    <x:row r="172">
      <x:c r="A172" s="33" t="n">
        <x:v>168</x:v>
      </x:c>
      <x:c r="B172" s="38" t="str">
        <x:v>Biryani d’agneau dum</x:v>
      </x:c>
      <x:c r="C172" s="38" t="str">
        <x:v>Biryani / agneau</x:v>
      </x:c>
      <x:c r="D172" s="38" t="str">
        <x:v>agneau, riz basmati, yaourt, oignon, épices, herbes</x:v>
      </x:c>
      <x:c r="E172" s="33" t="n">
        <x:v>35</x:v>
      </x:c>
      <x:c r="F172" s="33" t="n">
        <x:v>90</x:v>
      </x:c>
      <x:c r="G172" s="56" t="n">
        <x:v>5</x:v>
      </x:c>
      <x:c r="H172" s="56" t="n">
        <x:v>3.8</x:v>
      </x:c>
      <x:c r="I172" s="33" t="n">
        <x:v>1</x:v>
      </x:c>
      <x:c r="J172" s="57" t="n">
        <x:v>21</x:v>
      </x:c>
      <x:c r="K172" s="57" t="n">
        <x:f>J172*'Hypothèses &amp; sources'!$E$4</x:f>
        <x:v>21</x:v>
      </x:c>
      <x:c r="L172" s="57" t="n">
        <x:f>J172*'Hypothèses &amp; sources'!$F$4</x:f>
        <x:v>22.26</x:v>
      </x:c>
      <x:c r="M172" s="57" t="n">
        <x:f>J172*'Hypothèses &amp; sources'!$G$4</x:f>
        <x:v>23.1</x:v>
      </x:c>
      <x:c r="N172" s="57" t="n">
        <x:f>J172*'Hypothèses &amp; sources'!$H$4</x:f>
        <x:v>23.310000000000002</x:v>
      </x:c>
      <x:c r="O172" s="57" t="n">
        <x:f>J172*'Hypothèses &amp; sources'!$I$4</x:f>
        <x:v>26.04</x:v>
      </x:c>
      <x:c r="P172" s="57" t="str">
        <x:v>Super U</x:v>
      </x:c>
      <x:c r="Q172" s="57" t="n">
        <x:f>IF(P172="Lidl",K172,IF(P172="Super U",L172,IF(P172="Carrefour",M172,IF(P172="Auchan",N172,O172))))</x:f>
        <x:v>22.26</x:v>
      </x:c>
      <x:c r="R172" s="57" t="n">
        <x:f>Q172/'Hypothèses &amp; sources'!$B$4</x:f>
        <x:v>5.565</x:v>
      </x:c>
      <x:c r="S172" s="56" t="n">
        <x:f>MAX(0,'Hypothèses &amp; sources'!$B$5*MAX(0,MIN(100,'Hypothèses &amp; sources'!$B$10-R172*'Hypothèses &amp; sources'!$B$9))+'Hypothèses &amp; sources'!$B$6*(G172/5*100)+'Hypothèses &amp; sources'!$B$7*(H172/5*100)+'Hypothèses &amp; sources'!$B$8*MAX(0,MIN(100,'Hypothèses &amp; sources'!$B$12-E172*'Hypothèses &amp; sources'!$B$11))-T172)</x:f>
        <x:v>63.7924</x:v>
      </x:c>
      <x:c r="T172" s="33" t="n">
        <x:v>0</x:v>
      </x:c>
    </x:row>
    <x:row r="173">
      <x:c r="A173" s="33" t="n">
        <x:v>169</x:v>
      </x:c>
      <x:c r="B173" s="38" t="str">
        <x:v>Jhinga nariyalwala/shrimp coconut curry</x:v>
      </x:c>
      <x:c r="C173" s="38" t="str">
        <x:v>Curry / cuisine épicée</x:v>
      </x:c>
      <x:c r="D173" s="38" t="str">
        <x:v>oignon, ail, gingembre, épices, crevettes, lait de coco, légumes</x:v>
      </x:c>
      <x:c r="E173" s="33" t="n">
        <x:v>25</x:v>
      </x:c>
      <x:c r="F173" s="33" t="n">
        <x:v>55</x:v>
      </x:c>
      <x:c r="G173" s="56" t="n">
        <x:v>3.2</x:v>
      </x:c>
      <x:c r="H173" s="56" t="n">
        <x:v>3.7</x:v>
      </x:c>
      <x:c r="I173" s="33" t="n">
        <x:v>1</x:v>
      </x:c>
      <x:c r="J173" s="57" t="n">
        <x:v>16.2</x:v>
      </x:c>
      <x:c r="K173" s="57" t="n">
        <x:f>J173*'Hypothèses &amp; sources'!$E$4</x:f>
        <x:v>16.2</x:v>
      </x:c>
      <x:c r="L173" s="57" t="n">
        <x:f>J173*'Hypothèses &amp; sources'!$F$4</x:f>
        <x:v>17.172</x:v>
      </x:c>
      <x:c r="M173" s="57" t="n">
        <x:f>J173*'Hypothèses &amp; sources'!$G$4</x:f>
        <x:v>17.82</x:v>
      </x:c>
      <x:c r="N173" s="57" t="n">
        <x:f>J173*'Hypothèses &amp; sources'!$H$4</x:f>
        <x:v>17.982</x:v>
      </x:c>
      <x:c r="O173" s="57" t="n">
        <x:f>J173*'Hypothèses &amp; sources'!$I$4</x:f>
        <x:v>20.087999999999997</x:v>
      </x:c>
      <x:c r="P173" s="57" t="str">
        <x:v>Super U</x:v>
      </x:c>
      <x:c r="Q173" s="57" t="n">
        <x:f>IF(P173="Lidl",K173,IF(P173="Super U",L173,IF(P173="Carrefour",M173,IF(P173="Auchan",N173,O173))))</x:f>
        <x:v>17.172</x:v>
      </x:c>
      <x:c r="R173" s="57" t="n">
        <x:f>Q173/'Hypothèses &amp; sources'!$B$4</x:f>
        <x:v>4.293</x:v>
      </x:c>
      <x:c r="S173" s="56" t="n">
        <x:f>MAX(0,'Hypothèses &amp; sources'!$B$5*MAX(0,MIN(100,'Hypothèses &amp; sources'!$B$10-R173*'Hypothèses &amp; sources'!$B$9))+'Hypothèses &amp; sources'!$B$6*(G173/5*100)+'Hypothèses &amp; sources'!$B$7*(H173/5*100)+'Hypothèses &amp; sources'!$B$8*MAX(0,MIN(100,'Hypothèses &amp; sources'!$B$12-E173*'Hypothèses &amp; sources'!$B$11))-T173)</x:f>
        <x:v>62.403279999999995</x:v>
      </x:c>
      <x:c r="T173" s="33" t="n">
        <x:v>0</x:v>
      </x:c>
    </x:row>
    <x:row r="174">
      <x:c r="A174" s="33" t="n">
        <x:v>170</x:v>
      </x:c>
      <x:c r="B174" s="38" t="str">
        <x:v>Pizza egg rolls</x:v>
      </x:c>
      <x:c r="C174" s="38" t="str">
        <x:v>Apéritif / snack</x:v>
      </x:c>
      <x:c r="D174" s="38" t="str">
        <x:v>feuilles à rouleaux, mozzarella, sauce tomate, pepperoni</x:v>
      </x:c>
      <x:c r="E174" s="33" t="n">
        <x:v>20</x:v>
      </x:c>
      <x:c r="F174" s="33" t="n">
        <x:v>35</x:v>
      </x:c>
      <x:c r="G174" s="56" t="n">
        <x:v>3.5</x:v>
      </x:c>
      <x:c r="H174" s="56" t="n">
        <x:v>2.5</x:v>
      </x:c>
      <x:c r="I174" s="33" t="n">
        <x:v>1</x:v>
      </x:c>
      <x:c r="J174" s="57" t="n">
        <x:v>8</x:v>
      </x:c>
      <x:c r="K174" s="57" t="n">
        <x:f>J174*'Hypothèses &amp; sources'!$E$4</x:f>
        <x:v>8</x:v>
      </x:c>
      <x:c r="L174" s="57" t="n">
        <x:f>J174*'Hypothèses &amp; sources'!$F$4</x:f>
        <x:v>8.48</x:v>
      </x:c>
      <x:c r="M174" s="57" t="n">
        <x:f>J174*'Hypothèses &amp; sources'!$G$4</x:f>
        <x:v>8.8</x:v>
      </x:c>
      <x:c r="N174" s="57" t="n">
        <x:f>J174*'Hypothèses &amp; sources'!$H$4</x:f>
        <x:v>8.88</x:v>
      </x:c>
      <x:c r="O174" s="57" t="n">
        <x:f>J174*'Hypothèses &amp; sources'!$I$4</x:f>
        <x:v>9.92</x:v>
      </x:c>
      <x:c r="P174" s="57" t="str">
        <x:v>Super U</x:v>
      </x:c>
      <x:c r="Q174" s="57" t="n">
        <x:f>IF(P174="Lidl",K174,IF(P174="Super U",L174,IF(P174="Carrefour",M174,IF(P174="Auchan",N174,O174))))</x:f>
        <x:v>8.48</x:v>
      </x:c>
      <x:c r="R174" s="57" t="n">
        <x:f>Q174/'Hypothèses &amp; sources'!$B$4</x:f>
        <x:v>2.12</x:v>
      </x:c>
      <x:c r="S174" s="56" t="n">
        <x:f>MAX(0,'Hypothèses &amp; sources'!$B$5*MAX(0,MIN(100,'Hypothèses &amp; sources'!$B$10-R174*'Hypothèses &amp; sources'!$B$9))+'Hypothèses &amp; sources'!$B$6*(G174/5*100)+'Hypothèses &amp; sources'!$B$7*(H174/5*100)+'Hypothèses &amp; sources'!$B$8*MAX(0,MIN(100,'Hypothèses &amp; sources'!$B$12-E174*'Hypothèses &amp; sources'!$B$11))-T174)</x:f>
        <x:v>62.0352</x:v>
      </x:c>
      <x:c r="T174" s="33" t="n">
        <x:v>10</x:v>
      </x:c>
    </x:row>
    <x:row r="175">
      <x:c r="A175" s="33" t="n">
        <x:v>171</x:v>
      </x:c>
      <x:c r="B175" s="38" t="str">
        <x:v>Ragout d'agneau du moyen-orient</x:v>
      </x:c>
      <x:c r="C175" s="38" t="str">
        <x:v>Mijoté / curry</x:v>
      </x:c>
      <x:c r="D175" s="38" t="str">
        <x:v>oignon, bouillon, épices, agneau / mouton, légumes</x:v>
      </x:c>
      <x:c r="E175" s="33" t="n">
        <x:v>25</x:v>
      </x:c>
      <x:c r="F175" s="33" t="n">
        <x:v>75</x:v>
      </x:c>
      <x:c r="G175" s="56" t="n">
        <x:v>4.4</x:v>
      </x:c>
      <x:c r="H175" s="56" t="n">
        <x:v>3.3</x:v>
      </x:c>
      <x:c r="I175" s="33" t="n">
        <x:v>1</x:v>
      </x:c>
      <x:c r="J175" s="57" t="n">
        <x:v>20.5</x:v>
      </x:c>
      <x:c r="K175" s="57" t="n">
        <x:f>J175*'Hypothèses &amp; sources'!$E$4</x:f>
        <x:v>20.5</x:v>
      </x:c>
      <x:c r="L175" s="57" t="n">
        <x:f>J175*'Hypothèses &amp; sources'!$F$4</x:f>
        <x:v>21.73</x:v>
      </x:c>
      <x:c r="M175" s="57" t="n">
        <x:f>J175*'Hypothèses &amp; sources'!$G$4</x:f>
        <x:v>22.55</x:v>
      </x:c>
      <x:c r="N175" s="57" t="n">
        <x:f>J175*'Hypothèses &amp; sources'!$H$4</x:f>
        <x:v>22.755000000000003</x:v>
      </x:c>
      <x:c r="O175" s="57" t="n">
        <x:f>J175*'Hypothèses &amp; sources'!$I$4</x:f>
        <x:v>25.419999999999998</x:v>
      </x:c>
      <x:c r="P175" s="57" t="str">
        <x:v>Super U</x:v>
      </x:c>
      <x:c r="Q175" s="57" t="n">
        <x:f>IF(P175="Lidl",K175,IF(P175="Super U",L175,IF(P175="Carrefour",M175,IF(P175="Auchan",N175,O175))))</x:f>
        <x:v>21.73</x:v>
      </x:c>
      <x:c r="R175" s="57" t="n">
        <x:f>Q175/'Hypothèses &amp; sources'!$B$4</x:f>
        <x:v>5.4325</x:v>
      </x:c>
      <x:c r="S175" s="56" t="n">
        <x:f>MAX(0,'Hypothèses &amp; sources'!$B$5*MAX(0,MIN(100,'Hypothèses &amp; sources'!$B$10-R175*'Hypothèses &amp; sources'!$B$9))+'Hypothèses &amp; sources'!$B$6*(G175/5*100)+'Hypothèses &amp; sources'!$B$7*(H175/5*100)+'Hypothèses &amp; sources'!$B$8*MAX(0,MIN(100,'Hypothèses &amp; sources'!$B$12-E175*'Hypothèses &amp; sources'!$B$11))-T175)</x:f>
        <x:v>61.940200000000004</x:v>
      </x:c>
      <x:c r="T175" s="33" t="n">
        <x:v>0</x:v>
      </x:c>
    </x:row>
    <x:row r="176">
      <x:c r="A176" s="33" t="n">
        <x:v>172</x:v>
      </x:c>
      <x:c r="B176" s="38" t="str">
        <x:v>Tomato grape and rosemary baked camembert</x:v>
      </x:c>
      <x:c r="C176" s="38" t="str">
        <x:v>Apéritif / fromage</x:v>
      </x:c>
      <x:c r="D176" s="38" t="str">
        <x:v>camembert, tomates cerises, romarin, ail, pain</x:v>
      </x:c>
      <x:c r="E176" s="33" t="n">
        <x:v>10</x:v>
      </x:c>
      <x:c r="F176" s="33" t="n">
        <x:v>25</x:v>
      </x:c>
      <x:c r="G176" s="56" t="n">
        <x:v>3.4</x:v>
      </x:c>
      <x:c r="H176" s="56" t="n">
        <x:v>2.5</x:v>
      </x:c>
      <x:c r="I176" s="33" t="n">
        <x:v>0</x:v>
      </x:c>
      <x:c r="J176" s="57" t="n">
        <x:v>10.5</x:v>
      </x:c>
      <x:c r="K176" s="57" t="n">
        <x:f>J176*'Hypothèses &amp; sources'!$E$4</x:f>
        <x:v>10.5</x:v>
      </x:c>
      <x:c r="L176" s="57" t="n">
        <x:f>J176*'Hypothèses &amp; sources'!$F$4</x:f>
        <x:v>11.13</x:v>
      </x:c>
      <x:c r="M176" s="57" t="n">
        <x:f>J176*'Hypothèses &amp; sources'!$G$4</x:f>
        <x:v>11.55</x:v>
      </x:c>
      <x:c r="N176" s="57" t="n">
        <x:f>J176*'Hypothèses &amp; sources'!$H$4</x:f>
        <x:v>11.655000000000001</x:v>
      </x:c>
      <x:c r="O176" s="57" t="n">
        <x:f>J176*'Hypothèses &amp; sources'!$I$4</x:f>
        <x:v>13.02</x:v>
      </x:c>
      <x:c r="P176" s="57" t="str">
        <x:v>Lidl</x:v>
      </x:c>
      <x:c r="Q176" s="57" t="n">
        <x:f>IF(P176="Lidl",K176,IF(P176="Super U",L176,IF(P176="Carrefour",M176,IF(P176="Auchan",N176,O176))))</x:f>
        <x:v>10.5</x:v>
      </x:c>
      <x:c r="R176" s="57" t="n">
        <x:f>Q176/'Hypothèses &amp; sources'!$B$4</x:f>
        <x:v>2.625</x:v>
      </x:c>
      <x:c r="S176" s="56" t="n">
        <x:f>MAX(0,'Hypothèses &amp; sources'!$B$5*MAX(0,MIN(100,'Hypothèses &amp; sources'!$B$10-R176*'Hypothèses &amp; sources'!$B$9))+'Hypothèses &amp; sources'!$B$6*(G176/5*100)+'Hypothèses &amp; sources'!$B$7*(H176/5*100)+'Hypothèses &amp; sources'!$B$8*MAX(0,MIN(100,'Hypothèses &amp; sources'!$B$12-E176*'Hypothèses &amp; sources'!$B$11))-T176)</x:f>
        <x:v>61.57000000000001</x:v>
      </x:c>
      <x:c r="T176" s="33" t="n">
        <x:v>10</x:v>
      </x:c>
    </x:row>
    <x:row r="177">
      <x:c r="A177" s="33" t="n">
        <x:v>173</x:v>
      </x:c>
      <x:c r="B177" s="38" t="str">
        <x:v>Curry d'agneau et au pomme de terre</x:v>
      </x:c>
      <x:c r="C177" s="38" t="str">
        <x:v>Curry / cuisine épicée</x:v>
      </x:c>
      <x:c r="D177" s="38" t="str">
        <x:v>oignon, ail, gingembre, épices, pommes de terre, agneau / mouton</x:v>
      </x:c>
      <x:c r="E177" s="33" t="n">
        <x:v>25</x:v>
      </x:c>
      <x:c r="F177" s="33" t="n">
        <x:v>55</x:v>
      </x:c>
      <x:c r="G177" s="56" t="n">
        <x:v>4.5</x:v>
      </x:c>
      <x:c r="H177" s="56" t="n">
        <x:v>3.1</x:v>
      </x:c>
      <x:c r="I177" s="33" t="n">
        <x:v>1</x:v>
      </x:c>
      <x:c r="J177" s="57" t="n">
        <x:v>20.7</x:v>
      </x:c>
      <x:c r="K177" s="57" t="n">
        <x:f>J177*'Hypothèses &amp; sources'!$E$4</x:f>
        <x:v>20.7</x:v>
      </x:c>
      <x:c r="L177" s="57" t="n">
        <x:f>J177*'Hypothèses &amp; sources'!$F$4</x:f>
        <x:v>21.942</x:v>
      </x:c>
      <x:c r="M177" s="57" t="n">
        <x:f>J177*'Hypothèses &amp; sources'!$G$4</x:f>
        <x:v>22.77</x:v>
      </x:c>
      <x:c r="N177" s="57" t="n">
        <x:f>J177*'Hypothèses &amp; sources'!$H$4</x:f>
        <x:v>22.977</x:v>
      </x:c>
      <x:c r="O177" s="57" t="n">
        <x:f>J177*'Hypothèses &amp; sources'!$I$4</x:f>
        <x:v>25.668</x:v>
      </x:c>
      <x:c r="P177" s="57" t="str">
        <x:v>Super U</x:v>
      </x:c>
      <x:c r="Q177" s="57" t="n">
        <x:f>IF(P177="Lidl",K177,IF(P177="Super U",L177,IF(P177="Carrefour",M177,IF(P177="Auchan",N177,O177))))</x:f>
        <x:v>21.942</x:v>
      </x:c>
      <x:c r="R177" s="57" t="n">
        <x:f>Q177/'Hypothèses &amp; sources'!$B$4</x:f>
        <x:v>5.4855</x:v>
      </x:c>
      <x:c r="S177" s="56" t="n">
        <x:f>MAX(0,'Hypothèses &amp; sources'!$B$5*MAX(0,MIN(100,'Hypothèses &amp; sources'!$B$10-R177*'Hypothèses &amp; sources'!$B$9))+'Hypothèses &amp; sources'!$B$6*(G177/5*100)+'Hypothèses &amp; sources'!$B$7*(H177/5*100)+'Hypothèses &amp; sources'!$B$8*MAX(0,MIN(100,'Hypothèses &amp; sources'!$B$12-E177*'Hypothèses &amp; sources'!$B$11))-T177)</x:f>
        <x:v>61.51308000000001</x:v>
      </x:c>
      <x:c r="T177" s="33" t="n">
        <x:v>0</x:v>
      </x:c>
    </x:row>
    <x:row r="178">
      <x:c r="A178" s="33" t="n">
        <x:v>174</x:v>
      </x:c>
      <x:c r="B178" s="38" t="str">
        <x:v>Spanish oxtail stew</x:v>
      </x:c>
      <x:c r="C178" s="38" t="str">
        <x:v>Mijoté / curry</x:v>
      </x:c>
      <x:c r="D178" s="38" t="str">
        <x:v>ail, oignon, bouillon, épices, queue de bœuf, légumes</x:v>
      </x:c>
      <x:c r="E178" s="33" t="n">
        <x:v>25</x:v>
      </x:c>
      <x:c r="F178" s="33" t="n">
        <x:v>90</x:v>
      </x:c>
      <x:c r="G178" s="56" t="n">
        <x:v>4.5</x:v>
      </x:c>
      <x:c r="H178" s="56" t="n">
        <x:v>3.3</x:v>
      </x:c>
      <x:c r="I178" s="33" t="n">
        <x:v>2</x:v>
      </x:c>
      <x:c r="J178" s="57" t="n">
        <x:v>20.5</x:v>
      </x:c>
      <x:c r="K178" s="57" t="n">
        <x:f>J178*'Hypothèses &amp; sources'!$E$4</x:f>
        <x:v>20.5</x:v>
      </x:c>
      <x:c r="L178" s="57" t="n">
        <x:f>J178*'Hypothèses &amp; sources'!$F$4</x:f>
        <x:v>21.73</x:v>
      </x:c>
      <x:c r="M178" s="57" t="n">
        <x:f>J178*'Hypothèses &amp; sources'!$G$4</x:f>
        <x:v>22.55</x:v>
      </x:c>
      <x:c r="N178" s="57" t="n">
        <x:f>J178*'Hypothèses &amp; sources'!$H$4</x:f>
        <x:v>22.755000000000003</x:v>
      </x:c>
      <x:c r="O178" s="57" t="n">
        <x:f>J178*'Hypothèses &amp; sources'!$I$4</x:f>
        <x:v>25.419999999999998</x:v>
      </x:c>
      <x:c r="P178" s="57" t="str">
        <x:v>Carrefour</x:v>
      </x:c>
      <x:c r="Q178" s="57" t="n">
        <x:f>IF(P178="Lidl",K178,IF(P178="Super U",L178,IF(P178="Carrefour",M178,IF(P178="Auchan",N178,O178))))</x:f>
        <x:v>22.55</x:v>
      </x:c>
      <x:c r="R178" s="57" t="n">
        <x:f>Q178/'Hypothèses &amp; sources'!$B$4</x:f>
        <x:v>5.6375</x:v>
      </x:c>
      <x:c r="S178" s="56" t="n">
        <x:f>MAX(0,'Hypothèses &amp; sources'!$B$5*MAX(0,MIN(100,'Hypothèses &amp; sources'!$B$10-R178*'Hypothèses &amp; sources'!$B$9))+'Hypothèses &amp; sources'!$B$6*(G178/5*100)+'Hypothèses &amp; sources'!$B$7*(H178/5*100)+'Hypothèses &amp; sources'!$B$8*MAX(0,MIN(100,'Hypothèses &amp; sources'!$B$12-E178*'Hypothèses &amp; sources'!$B$11))-T178)</x:f>
        <x:v>61.46699999999999</x:v>
      </x:c>
      <x:c r="T178" s="33" t="n">
        <x:v>0</x:v>
      </x:c>
    </x:row>
    <x:row r="179">
      <x:c r="A179" s="33" t="n">
        <x:v>175</x:v>
      </x:c>
      <x:c r="B179" s="38" t="str">
        <x:v>Creamy queso</x:v>
      </x:c>
      <x:c r="C179" s="38" t="str">
        <x:v>Apéritif / tartinade</x:v>
      </x:c>
      <x:c r="D179" s="38" t="str">
        <x:v>fromage, lait ou crème, piment, tomate</x:v>
      </x:c>
      <x:c r="E179" s="33" t="n">
        <x:v>10</x:v>
      </x:c>
      <x:c r="F179" s="33" t="n">
        <x:v>15</x:v>
      </x:c>
      <x:c r="G179" s="56" t="n">
        <x:v>2.8</x:v>
      </x:c>
      <x:c r="H179" s="56" t="n">
        <x:v>2</x:v>
      </x:c>
      <x:c r="I179" s="33" t="n">
        <x:v>0</x:v>
      </x:c>
      <x:c r="J179" s="57" t="n">
        <x:v>6.5</x:v>
      </x:c>
      <x:c r="K179" s="57" t="n">
        <x:f>J179*'Hypothèses &amp; sources'!$E$4</x:f>
        <x:v>6.5</x:v>
      </x:c>
      <x:c r="L179" s="57" t="n">
        <x:f>J179*'Hypothèses &amp; sources'!$F$4</x:f>
        <x:v>6.890000000000001</x:v>
      </x:c>
      <x:c r="M179" s="57" t="n">
        <x:f>J179*'Hypothèses &amp; sources'!$G$4</x:f>
        <x:v>7.15</x:v>
      </x:c>
      <x:c r="N179" s="57" t="n">
        <x:f>J179*'Hypothèses &amp; sources'!$H$4</x:f>
        <x:v>7.215000000000001</x:v>
      </x:c>
      <x:c r="O179" s="57" t="n">
        <x:f>J179*'Hypothèses &amp; sources'!$I$4</x:f>
        <x:v>8.06</x:v>
      </x:c>
      <x:c r="P179" s="57" t="str">
        <x:v>Lidl</x:v>
      </x:c>
      <x:c r="Q179" s="57" t="n">
        <x:f>IF(P179="Lidl",K179,IF(P179="Super U",L179,IF(P179="Carrefour",M179,IF(P179="Auchan",N179,O179))))</x:f>
        <x:v>6.5</x:v>
      </x:c>
      <x:c r="R179" s="57" t="n">
        <x:f>Q179/'Hypothèses &amp; sources'!$B$4</x:f>
        <x:v>1.625</x:v>
      </x:c>
      <x:c r="S179" s="56" t="n">
        <x:f>MAX(0,'Hypothèses &amp; sources'!$B$5*MAX(0,MIN(100,'Hypothèses &amp; sources'!$B$10-R179*'Hypothèses &amp; sources'!$B$9))+'Hypothèses &amp; sources'!$B$6*(G179/5*100)+'Hypothèses &amp; sources'!$B$7*(H179/5*100)+'Hypothèses &amp; sources'!$B$8*MAX(0,MIN(100,'Hypothèses &amp; sources'!$B$12-E179*'Hypothèses &amp; sources'!$B$11))-T179)</x:f>
        <x:v>61.45</x:v>
      </x:c>
      <x:c r="T179" s="33" t="n">
        <x:v>10</x:v>
      </x:c>
    </x:row>
    <x:row r="180">
      <x:c r="A180" s="33" t="n">
        <x:v>176</x:v>
      </x:c>
      <x:c r="B180" s="38" t="str">
        <x:v>Venison roast</x:v>
      </x:c>
      <x:c r="C180" s="38" t="str">
        <x:v>Plat complet</x:v>
      </x:c>
      <x:c r="D180" s="38" t="str">
        <x:v>venaison</x:v>
      </x:c>
      <x:c r="E180" s="33" t="n">
        <x:v>20</x:v>
      </x:c>
      <x:c r="F180" s="33" t="n">
        <x:v>90</x:v>
      </x:c>
      <x:c r="G180" s="56" t="n">
        <x:v>3.9</x:v>
      </x:c>
      <x:c r="H180" s="56" t="n">
        <x:v>3.5</x:v>
      </x:c>
      <x:c r="I180" s="33" t="n">
        <x:v>2</x:v>
      </x:c>
      <x:c r="J180" s="57" t="n">
        <x:v>19.9</x:v>
      </x:c>
      <x:c r="K180" s="57" t="n">
        <x:f>J180*'Hypothèses &amp; sources'!$E$4</x:f>
        <x:v>19.9</x:v>
      </x:c>
      <x:c r="L180" s="57" t="n">
        <x:f>J180*'Hypothèses &amp; sources'!$F$4</x:f>
        <x:v>21.094</x:v>
      </x:c>
      <x:c r="M180" s="57" t="n">
        <x:f>J180*'Hypothèses &amp; sources'!$G$4</x:f>
        <x:v>21.89</x:v>
      </x:c>
      <x:c r="N180" s="57" t="n">
        <x:f>J180*'Hypothèses &amp; sources'!$H$4</x:f>
        <x:v>22.089</x:v>
      </x:c>
      <x:c r="O180" s="57" t="n">
        <x:f>J180*'Hypothèses &amp; sources'!$I$4</x:f>
        <x:v>24.676</x:v>
      </x:c>
      <x:c r="P180" s="57" t="str">
        <x:v>Carrefour</x:v>
      </x:c>
      <x:c r="Q180" s="57" t="n">
        <x:f>IF(P180="Lidl",K180,IF(P180="Super U",L180,IF(P180="Carrefour",M180,IF(P180="Auchan",N180,O180))))</x:f>
        <x:v>21.89</x:v>
      </x:c>
      <x:c r="R180" s="57" t="n">
        <x:f>Q180/'Hypothèses &amp; sources'!$B$4</x:f>
        <x:v>5.4725</x:v>
      </x:c>
      <x:c r="S180" s="56" t="n">
        <x:f>MAX(0,'Hypothèses &amp; sources'!$B$5*MAX(0,MIN(100,'Hypothèses &amp; sources'!$B$10-R180*'Hypothèses &amp; sources'!$B$9))+'Hypothèses &amp; sources'!$B$6*(G180/5*100)+'Hypothèses &amp; sources'!$B$7*(H180/5*100)+'Hypothèses &amp; sources'!$B$8*MAX(0,MIN(100,'Hypothèses &amp; sources'!$B$12-E180*'Hypothèses &amp; sources'!$B$11))-T180)</x:f>
        <x:v>60.97860000000001</x:v>
      </x:c>
      <x:c r="T180" s="33" t="n">
        <x:v>0</x:v>
      </x:c>
    </x:row>
    <x:row r="181">
      <x:c r="A181" s="33" t="n">
        <x:v>177</x:v>
      </x:c>
      <x:c r="B181" s="38" t="str">
        <x:v>Biryani d'agneau</x:v>
      </x:c>
      <x:c r="C181" s="38" t="str">
        <x:v>Curry / cuisine épicée</x:v>
      </x:c>
      <x:c r="D181" s="38" t="str">
        <x:v>oignon, ail, gingembre, épices, riz, agneau / mouton, légumes</x:v>
      </x:c>
      <x:c r="E181" s="33" t="n">
        <x:v>25</x:v>
      </x:c>
      <x:c r="F181" s="33" t="n">
        <x:v>55</x:v>
      </x:c>
      <x:c r="G181" s="56" t="n">
        <x:v>4.4</x:v>
      </x:c>
      <x:c r="H181" s="56" t="n">
        <x:v>3.3</x:v>
      </x:c>
      <x:c r="I181" s="33" t="n">
        <x:v>1</x:v>
      </x:c>
      <x:c r="J181" s="57" t="n">
        <x:v>21.3</x:v>
      </x:c>
      <x:c r="K181" s="57" t="n">
        <x:f>J181*'Hypothèses &amp; sources'!$E$4</x:f>
        <x:v>21.3</x:v>
      </x:c>
      <x:c r="L181" s="57" t="n">
        <x:f>J181*'Hypothèses &amp; sources'!$F$4</x:f>
        <x:v>22.578000000000003</x:v>
      </x:c>
      <x:c r="M181" s="57" t="n">
        <x:f>J181*'Hypothèses &amp; sources'!$G$4</x:f>
        <x:v>23.430000000000003</x:v>
      </x:c>
      <x:c r="N181" s="57" t="n">
        <x:f>J181*'Hypothèses &amp; sources'!$H$4</x:f>
        <x:v>23.643000000000004</x:v>
      </x:c>
      <x:c r="O181" s="57" t="n">
        <x:f>J181*'Hypothèses &amp; sources'!$I$4</x:f>
        <x:v>26.412</x:v>
      </x:c>
      <x:c r="P181" s="57" t="str">
        <x:v>Super U</x:v>
      </x:c>
      <x:c r="Q181" s="57" t="n">
        <x:f>IF(P181="Lidl",K181,IF(P181="Super U",L181,IF(P181="Carrefour",M181,IF(P181="Auchan",N181,O181))))</x:f>
        <x:v>22.578000000000003</x:v>
      </x:c>
      <x:c r="R181" s="57" t="n">
        <x:f>Q181/'Hypothèses &amp; sources'!$B$4</x:f>
        <x:v>5.644500000000001</x:v>
      </x:c>
      <x:c r="S181" s="56" t="n">
        <x:f>MAX(0,'Hypothèses &amp; sources'!$B$5*MAX(0,MIN(100,'Hypothèses &amp; sources'!$B$10-R181*'Hypothèses &amp; sources'!$B$9))+'Hypothèses &amp; sources'!$B$6*(G181/5*100)+'Hypothèses &amp; sources'!$B$7*(H181/5*100)+'Hypothèses &amp; sources'!$B$8*MAX(0,MIN(100,'Hypothèses &amp; sources'!$B$12-E181*'Hypothèses &amp; sources'!$B$11))-T181)</x:f>
        <x:v>60.87172</x:v>
      </x:c>
      <x:c r="T181" s="33" t="n">
        <x:v>0</x:v>
      </x:c>
    </x:row>
    <x:row r="182">
      <x:c r="A182" s="33" t="n">
        <x:v>178</x:v>
      </x:c>
      <x:c r="B182" s="38" t="str">
        <x:v>Hyderabadi-style Mutton Biryani</x:v>
      </x:c>
      <x:c r="C182" s="38" t="str">
        <x:v>Curry / cuisine épicée</x:v>
      </x:c>
      <x:c r="D182" s="38" t="str">
        <x:v>oignon, ail, gingembre, épices, riz, agneau / mouton, légumes</x:v>
      </x:c>
      <x:c r="E182" s="33" t="n">
        <x:v>25</x:v>
      </x:c>
      <x:c r="F182" s="33" t="n">
        <x:v>55</x:v>
      </x:c>
      <x:c r="G182" s="56" t="n">
        <x:v>4.4</x:v>
      </x:c>
      <x:c r="H182" s="56" t="n">
        <x:v>3.3</x:v>
      </x:c>
      <x:c r="I182" s="33" t="n">
        <x:v>1</x:v>
      </x:c>
      <x:c r="J182" s="57" t="n">
        <x:v>21.3</x:v>
      </x:c>
      <x:c r="K182" s="57" t="n">
        <x:f>J182*'Hypothèses &amp; sources'!$E$4</x:f>
        <x:v>21.3</x:v>
      </x:c>
      <x:c r="L182" s="57" t="n">
        <x:f>J182*'Hypothèses &amp; sources'!$F$4</x:f>
        <x:v>22.578000000000003</x:v>
      </x:c>
      <x:c r="M182" s="57" t="n">
        <x:f>J182*'Hypothèses &amp; sources'!$G$4</x:f>
        <x:v>23.430000000000003</x:v>
      </x:c>
      <x:c r="N182" s="57" t="n">
        <x:f>J182*'Hypothèses &amp; sources'!$H$4</x:f>
        <x:v>23.643000000000004</x:v>
      </x:c>
      <x:c r="O182" s="57" t="n">
        <x:f>J182*'Hypothèses &amp; sources'!$I$4</x:f>
        <x:v>26.412</x:v>
      </x:c>
      <x:c r="P182" s="57" t="str">
        <x:v>Super U</x:v>
      </x:c>
      <x:c r="Q182" s="57" t="n">
        <x:f>IF(P182="Lidl",K182,IF(P182="Super U",L182,IF(P182="Carrefour",M182,IF(P182="Auchan",N182,O182))))</x:f>
        <x:v>22.578000000000003</x:v>
      </x:c>
      <x:c r="R182" s="57" t="n">
        <x:f>Q182/'Hypothèses &amp; sources'!$B$4</x:f>
        <x:v>5.644500000000001</x:v>
      </x:c>
      <x:c r="S182" s="56" t="n">
        <x:f>MAX(0,'Hypothèses &amp; sources'!$B$5*MAX(0,MIN(100,'Hypothèses &amp; sources'!$B$10-R182*'Hypothèses &amp; sources'!$B$9))+'Hypothèses &amp; sources'!$B$6*(G182/5*100)+'Hypothèses &amp; sources'!$B$7*(H182/5*100)+'Hypothèses &amp; sources'!$B$8*MAX(0,MIN(100,'Hypothèses &amp; sources'!$B$12-E182*'Hypothèses &amp; sources'!$B$11))-T182)</x:f>
        <x:v>60.87172</x:v>
      </x:c>
      <x:c r="T182" s="33" t="n">
        <x:v>0</x:v>
      </x:c>
    </x:row>
    <x:row r="183">
      <x:c r="A183" s="33" t="n">
        <x:v>179</x:v>
      </x:c>
      <x:c r="B183" s="38" t="str">
        <x:v>Lamb vindaloo</x:v>
      </x:c>
      <x:c r="C183" s="38" t="str">
        <x:v>Curry / cuisine épicée</x:v>
      </x:c>
      <x:c r="D183" s="38" t="str">
        <x:v>oignon, bouillon, épices, ail, gingembre, agneau / mouton, légumes</x:v>
      </x:c>
      <x:c r="E183" s="33" t="n">
        <x:v>25</x:v>
      </x:c>
      <x:c r="F183" s="33" t="n">
        <x:v>55</x:v>
      </x:c>
      <x:c r="G183" s="56" t="n">
        <x:v>4.4</x:v>
      </x:c>
      <x:c r="H183" s="56" t="n">
        <x:v>3.3</x:v>
      </x:c>
      <x:c r="I183" s="33" t="n">
        <x:v>1</x:v>
      </x:c>
      <x:c r="J183" s="57" t="n">
        <x:v>22</x:v>
      </x:c>
      <x:c r="K183" s="57" t="n">
        <x:f>J183*'Hypothèses &amp; sources'!$E$4</x:f>
        <x:v>22</x:v>
      </x:c>
      <x:c r="L183" s="57" t="n">
        <x:f>J183*'Hypothèses &amp; sources'!$F$4</x:f>
        <x:v>23.32</x:v>
      </x:c>
      <x:c r="M183" s="57" t="n">
        <x:f>J183*'Hypothèses &amp; sources'!$G$4</x:f>
        <x:v>24.200000000000003</x:v>
      </x:c>
      <x:c r="N183" s="57" t="n">
        <x:f>J183*'Hypothèses &amp; sources'!$H$4</x:f>
        <x:v>24.42</x:v>
      </x:c>
      <x:c r="O183" s="57" t="n">
        <x:f>J183*'Hypothèses &amp; sources'!$I$4</x:f>
        <x:v>27.28</x:v>
      </x:c>
      <x:c r="P183" s="57" t="str">
        <x:v>Super U</x:v>
      </x:c>
      <x:c r="Q183" s="57" t="n">
        <x:f>IF(P183="Lidl",K183,IF(P183="Super U",L183,IF(P183="Carrefour",M183,IF(P183="Auchan",N183,O183))))</x:f>
        <x:v>23.32</x:v>
      </x:c>
      <x:c r="R183" s="57" t="n">
        <x:f>Q183/'Hypothèses &amp; sources'!$B$4</x:f>
        <x:v>5.83</x:v>
      </x:c>
      <x:c r="S183" s="56" t="n">
        <x:f>MAX(0,'Hypothèses &amp; sources'!$B$5*MAX(0,MIN(100,'Hypothèses &amp; sources'!$B$10-R183*'Hypothèses &amp; sources'!$B$9))+'Hypothèses &amp; sources'!$B$6*(G183/5*100)+'Hypothèses &amp; sources'!$B$7*(H183/5*100)+'Hypothèses &amp; sources'!$B$8*MAX(0,MIN(100,'Hypothèses &amp; sources'!$B$12-E183*'Hypothèses &amp; sources'!$B$11))-T183)</x:f>
        <x:v>59.9368</x:v>
      </x:c>
      <x:c r="T183" s="33" t="n">
        <x:v>0</x:v>
      </x:c>
    </x:row>
    <x:row r="184">
      <x:c r="A184" s="33" t="n">
        <x:v>180</x:v>
      </x:c>
      <x:c r="B184" s="38" t="str">
        <x:v>Rogan josh/curry d'agneau</x:v>
      </x:c>
      <x:c r="C184" s="38" t="str">
        <x:v>Curry / cuisine épicée</x:v>
      </x:c>
      <x:c r="D184" s="38" t="str">
        <x:v>oignon, bouillon, épices, ail, gingembre, agneau / mouton, légumes</x:v>
      </x:c>
      <x:c r="E184" s="33" t="n">
        <x:v>25</x:v>
      </x:c>
      <x:c r="F184" s="33" t="n">
        <x:v>55</x:v>
      </x:c>
      <x:c r="G184" s="56" t="n">
        <x:v>4.4</x:v>
      </x:c>
      <x:c r="H184" s="56" t="n">
        <x:v>3.3</x:v>
      </x:c>
      <x:c r="I184" s="33" t="n">
        <x:v>1</x:v>
      </x:c>
      <x:c r="J184" s="57" t="n">
        <x:v>22</x:v>
      </x:c>
      <x:c r="K184" s="57" t="n">
        <x:f>J184*'Hypothèses &amp; sources'!$E$4</x:f>
        <x:v>22</x:v>
      </x:c>
      <x:c r="L184" s="57" t="n">
        <x:f>J184*'Hypothèses &amp; sources'!$F$4</x:f>
        <x:v>23.32</x:v>
      </x:c>
      <x:c r="M184" s="57" t="n">
        <x:f>J184*'Hypothèses &amp; sources'!$G$4</x:f>
        <x:v>24.200000000000003</x:v>
      </x:c>
      <x:c r="N184" s="57" t="n">
        <x:f>J184*'Hypothèses &amp; sources'!$H$4</x:f>
        <x:v>24.42</x:v>
      </x:c>
      <x:c r="O184" s="57" t="n">
        <x:f>J184*'Hypothèses &amp; sources'!$I$4</x:f>
        <x:v>27.28</x:v>
      </x:c>
      <x:c r="P184" s="57" t="str">
        <x:v>Super U</x:v>
      </x:c>
      <x:c r="Q184" s="57" t="n">
        <x:f>IF(P184="Lidl",K184,IF(P184="Super U",L184,IF(P184="Carrefour",M184,IF(P184="Auchan",N184,O184))))</x:f>
        <x:v>23.32</x:v>
      </x:c>
      <x:c r="R184" s="57" t="n">
        <x:f>Q184/'Hypothèses &amp; sources'!$B$4</x:f>
        <x:v>5.83</x:v>
      </x:c>
      <x:c r="S184" s="56" t="n">
        <x:f>MAX(0,'Hypothèses &amp; sources'!$B$5*MAX(0,MIN(100,'Hypothèses &amp; sources'!$B$10-R184*'Hypothèses &amp; sources'!$B$9))+'Hypothèses &amp; sources'!$B$6*(G184/5*100)+'Hypothèses &amp; sources'!$B$7*(H184/5*100)+'Hypothèses &amp; sources'!$B$8*MAX(0,MIN(100,'Hypothèses &amp; sources'!$B$12-E184*'Hypothèses &amp; sources'!$B$11))-T184)</x:f>
        <x:v>59.9368</x:v>
      </x:c>
      <x:c r="T184" s="33" t="n">
        <x:v>0</x:v>
      </x:c>
    </x:row>
    <x:row r="185">
      <x:c r="A185" s="33" t="n">
        <x:v>181</x:v>
      </x:c>
      <x:c r="B185" s="38" t="str">
        <x:v>Gajar ka halwa/carrot with raisins</x:v>
      </x:c>
      <x:c r="C185" s="38" t="str">
        <x:v>Dessert</x:v>
      </x:c>
      <x:c r="D185" s="38" t="str">
        <x:v>carottes, lait, sucre, raisins, beurre</x:v>
      </x:c>
      <x:c r="E185" s="33" t="n">
        <x:v>20</x:v>
      </x:c>
      <x:c r="F185" s="33" t="n">
        <x:v>45</x:v>
      </x:c>
      <x:c r="G185" s="56" t="n">
        <x:v>3</x:v>
      </x:c>
      <x:c r="H185" s="56" t="n">
        <x:v>2.5</x:v>
      </x:c>
      <x:c r="I185" s="33" t="n">
        <x:v>1</x:v>
      </x:c>
      <x:c r="J185" s="57" t="n">
        <x:v>6</x:v>
      </x:c>
      <x:c r="K185" s="57" t="n">
        <x:f>J185*'Hypothèses &amp; sources'!$E$4</x:f>
        <x:v>6</x:v>
      </x:c>
      <x:c r="L185" s="57" t="n">
        <x:f>J185*'Hypothèses &amp; sources'!$F$4</x:f>
        <x:v>6.36</x:v>
      </x:c>
      <x:c r="M185" s="57" t="n">
        <x:f>J185*'Hypothèses &amp; sources'!$G$4</x:f>
        <x:v>6.6000000000000005</x:v>
      </x:c>
      <x:c r="N185" s="57" t="n">
        <x:f>J185*'Hypothèses &amp; sources'!$H$4</x:f>
        <x:v>6.66</x:v>
      </x:c>
      <x:c r="O185" s="57" t="n">
        <x:f>J185*'Hypothèses &amp; sources'!$I$4</x:f>
        <x:v>7.4399999999999995</x:v>
      </x:c>
      <x:c r="P185" s="57" t="str">
        <x:v>Super U</x:v>
      </x:c>
      <x:c r="Q185" s="57" t="n">
        <x:f>IF(P185="Lidl",K185,IF(P185="Super U",L185,IF(P185="Carrefour",M185,IF(P185="Auchan",N185,O185))))</x:f>
        <x:v>6.36</x:v>
      </x:c>
      <x:c r="R185" s="57" t="n">
        <x:f>Q185/'Hypothèses &amp; sources'!$B$4</x:f>
        <x:v>1.59</x:v>
      </x:c>
      <x:c r="S185" s="56" t="n">
        <x:f>MAX(0,'Hypothèses &amp; sources'!$B$5*MAX(0,MIN(100,'Hypothèses &amp; sources'!$B$10-R185*'Hypothèses &amp; sources'!$B$9))+'Hypothèses &amp; sources'!$B$6*(G185/5*100)+'Hypothèses &amp; sources'!$B$7*(H185/5*100)+'Hypothèses &amp; sources'!$B$8*MAX(0,MIN(100,'Hypothèses &amp; sources'!$B$12-E185*'Hypothèses &amp; sources'!$B$11))-T185)</x:f>
        <x:v>59.906400000000005</x:v>
      </x:c>
      <x:c r="T185" s="33" t="n">
        <x:v>12</x:v>
      </x:c>
    </x:row>
    <x:row r="186">
      <x:c r="A186" s="33" t="n">
        <x:v>182</x:v>
      </x:c>
      <x:c r="B186" s="38" t="str">
        <x:v>Jarrets d'agneau</x:v>
      </x:c>
      <x:c r="C186" s="38" t="str">
        <x:v>Plat complet</x:v>
      </x:c>
      <x:c r="D186" s="38" t="str">
        <x:v>jarrets d’agneau</x:v>
      </x:c>
      <x:c r="E186" s="33" t="n">
        <x:v>20</x:v>
      </x:c>
      <x:c r="F186" s="33" t="n">
        <x:v>90</x:v>
      </x:c>
      <x:c r="G186" s="56" t="n">
        <x:v>4</x:v>
      </x:c>
      <x:c r="H186" s="56" t="n">
        <x:v>3.1</x:v>
      </x:c>
      <x:c r="I186" s="33" t="n">
        <x:v>1</x:v>
      </x:c>
      <x:c r="J186" s="57" t="n">
        <x:v>20.9</x:v>
      </x:c>
      <x:c r="K186" s="57" t="n">
        <x:f>J186*'Hypothèses &amp; sources'!$E$4</x:f>
        <x:v>20.9</x:v>
      </x:c>
      <x:c r="L186" s="57" t="n">
        <x:f>J186*'Hypothèses &amp; sources'!$F$4</x:f>
        <x:v>22.154</x:v>
      </x:c>
      <x:c r="M186" s="57" t="n">
        <x:f>J186*'Hypothèses &amp; sources'!$G$4</x:f>
        <x:v>22.990000000000002</x:v>
      </x:c>
      <x:c r="N186" s="57" t="n">
        <x:f>J186*'Hypothèses &amp; sources'!$H$4</x:f>
        <x:v>23.199</x:v>
      </x:c>
      <x:c r="O186" s="57" t="n">
        <x:f>J186*'Hypothèses &amp; sources'!$I$4</x:f>
        <x:v>25.915999999999997</x:v>
      </x:c>
      <x:c r="P186" s="57" t="str">
        <x:v>Carrefour</x:v>
      </x:c>
      <x:c r="Q186" s="57" t="n">
        <x:f>IF(P186="Lidl",K186,IF(P186="Super U",L186,IF(P186="Carrefour",M186,IF(P186="Auchan",N186,O186))))</x:f>
        <x:v>22.990000000000002</x:v>
      </x:c>
      <x:c r="R186" s="57" t="n">
        <x:f>Q186/'Hypothèses &amp; sources'!$B$4</x:f>
        <x:v>5.7475000000000005</x:v>
      </x:c>
      <x:c r="S186" s="56" t="n">
        <x:f>MAX(0,'Hypothèses &amp; sources'!$B$5*MAX(0,MIN(100,'Hypothèses &amp; sources'!$B$10-R186*'Hypothèses &amp; sources'!$B$9))+'Hypothèses &amp; sources'!$B$6*(G186/5*100)+'Hypothèses &amp; sources'!$B$7*(H186/5*100)+'Hypothèses &amp; sources'!$B$8*MAX(0,MIN(100,'Hypothèses &amp; sources'!$B$12-E186*'Hypothèses &amp; sources'!$B$11))-T186)</x:f>
        <x:v>58.71260000000001</x:v>
      </x:c>
      <x:c r="T186" s="33" t="n">
        <x:v>0</x:v>
      </x:c>
    </x:row>
    <x:row r="187">
      <x:c r="A187" s="33" t="n">
        <x:v>183</x:v>
      </x:c>
      <x:c r="B187" s="38" t="str">
        <x:v>Venison stew</x:v>
      </x:c>
      <x:c r="C187" s="38" t="str">
        <x:v>Mijoté / curry</x:v>
      </x:c>
      <x:c r="D187" s="38" t="str">
        <x:v>oignon, bouillon, épices, venaison, légumes</x:v>
      </x:c>
      <x:c r="E187" s="33" t="n">
        <x:v>25</x:v>
      </x:c>
      <x:c r="F187" s="33" t="n">
        <x:v>75</x:v>
      </x:c>
      <x:c r="G187" s="56" t="n">
        <x:v>4.3</x:v>
      </x:c>
      <x:c r="H187" s="56" t="n">
        <x:v>3.7</x:v>
      </x:c>
      <x:c r="I187" s="33" t="n">
        <x:v>2</x:v>
      </x:c>
      <x:c r="J187" s="57" t="n">
        <x:v>23</x:v>
      </x:c>
      <x:c r="K187" s="57" t="n">
        <x:f>J187*'Hypothèses &amp; sources'!$E$4</x:f>
        <x:v>23</x:v>
      </x:c>
      <x:c r="L187" s="57" t="n">
        <x:f>J187*'Hypothèses &amp; sources'!$F$4</x:f>
        <x:v>24.380000000000003</x:v>
      </x:c>
      <x:c r="M187" s="57" t="n">
        <x:f>J187*'Hypothèses &amp; sources'!$G$4</x:f>
        <x:v>25.3</x:v>
      </x:c>
      <x:c r="N187" s="57" t="n">
        <x:f>J187*'Hypothèses &amp; sources'!$H$4</x:f>
        <x:v>25.53</x:v>
      </x:c>
      <x:c r="O187" s="57" t="n">
        <x:f>J187*'Hypothèses &amp; sources'!$I$4</x:f>
        <x:v>28.52</x:v>
      </x:c>
      <x:c r="P187" s="57" t="str">
        <x:v>Carrefour</x:v>
      </x:c>
      <x:c r="Q187" s="57" t="n">
        <x:f>IF(P187="Lidl",K187,IF(P187="Super U",L187,IF(P187="Carrefour",M187,IF(P187="Auchan",N187,O187))))</x:f>
        <x:v>25.3</x:v>
      </x:c>
      <x:c r="R187" s="57" t="n">
        <x:f>Q187/'Hypothèses &amp; sources'!$B$4</x:f>
        <x:v>6.325</x:v>
      </x:c>
      <x:c r="S187" s="56" t="n">
        <x:f>MAX(0,'Hypothèses &amp; sources'!$B$5*MAX(0,MIN(100,'Hypothèses &amp; sources'!$B$10-R187*'Hypothèses &amp; sources'!$B$9))+'Hypothèses &amp; sources'!$B$6*(G187/5*100)+'Hypothèses &amp; sources'!$B$7*(H187/5*100)+'Hypothèses &amp; sources'!$B$8*MAX(0,MIN(100,'Hypothèses &amp; sources'!$B$12-E187*'Hypothèses &amp; sources'!$B$11))-T187)</x:f>
        <x:v>58.322</x:v>
      </x:c>
      <x:c r="T187" s="33" t="n">
        <x:v>0</x:v>
      </x:c>
    </x:row>
    <x:row r="188">
      <x:c r="A188" s="33" t="n">
        <x:v>184</x:v>
      </x:c>
      <x:c r="B188" s="38" t="str">
        <x:v>Peanut butter fudge</x:v>
      </x:c>
      <x:c r="C188" s="38" t="str">
        <x:v>Dessert</x:v>
      </x:c>
      <x:c r="D188" s="38" t="str">
        <x:v>beurre de cacahuète, sucre, beurre</x:v>
      </x:c>
      <x:c r="E188" s="33" t="n">
        <x:v>10</x:v>
      </x:c>
      <x:c r="F188" s="33" t="n">
        <x:v>70</x:v>
      </x:c>
      <x:c r="G188" s="56" t="n">
        <x:v>2.5</x:v>
      </x:c>
      <x:c r="H188" s="56" t="n">
        <x:v>1.5</x:v>
      </x:c>
      <x:c r="I188" s="33" t="n">
        <x:v>0</x:v>
      </x:c>
      <x:c r="J188" s="57" t="n">
        <x:v>5.5</x:v>
      </x:c>
      <x:c r="K188" s="57" t="n">
        <x:f>J188*'Hypothèses &amp; sources'!$E$4</x:f>
        <x:v>5.5</x:v>
      </x:c>
      <x:c r="L188" s="57" t="n">
        <x:f>J188*'Hypothèses &amp; sources'!$F$4</x:f>
        <x:v>5.83</x:v>
      </x:c>
      <x:c r="M188" s="57" t="n">
        <x:f>J188*'Hypothèses &amp; sources'!$G$4</x:f>
        <x:v>6.050000000000001</x:v>
      </x:c>
      <x:c r="N188" s="57" t="n">
        <x:f>J188*'Hypothèses &amp; sources'!$H$4</x:f>
        <x:v>6.105</x:v>
      </x:c>
      <x:c r="O188" s="57" t="n">
        <x:f>J188*'Hypothèses &amp; sources'!$I$4</x:f>
        <x:v>6.82</x:v>
      </x:c>
      <x:c r="P188" s="57" t="str">
        <x:v>Lidl</x:v>
      </x:c>
      <x:c r="Q188" s="57" t="n">
        <x:f>IF(P188="Lidl",K188,IF(P188="Super U",L188,IF(P188="Carrefour",M188,IF(P188="Auchan",N188,O188))))</x:f>
        <x:v>5.5</x:v>
      </x:c>
      <x:c r="R188" s="57" t="n">
        <x:f>Q188/'Hypothèses &amp; sources'!$B$4</x:f>
        <x:v>1.375</x:v>
      </x:c>
      <x:c r="S188" s="56" t="n">
        <x:f>MAX(0,'Hypothèses &amp; sources'!$B$5*MAX(0,MIN(100,'Hypothèses &amp; sources'!$B$10-R188*'Hypothèses &amp; sources'!$B$9))+'Hypothèses &amp; sources'!$B$6*(G188/5*100)+'Hypothèses &amp; sources'!$B$7*(H188/5*100)+'Hypothèses &amp; sources'!$B$8*MAX(0,MIN(100,'Hypothèses &amp; sources'!$B$12-E188*'Hypothèses &amp; sources'!$B$11))-T188)</x:f>
        <x:v>57.22999999999999</x:v>
      </x:c>
      <x:c r="T188" s="33" t="n">
        <x:v>12</x:v>
      </x:c>
    </x:row>
    <x:row r="189">
      <x:c r="A189" s="33" t="n">
        <x:v>185</x:v>
      </x:c>
      <x:c r="B189" s="38" t="str">
        <x:v>Oignon masala</x:v>
      </x:c>
      <x:c r="C189" s="38" t="str">
        <x:v>Base / condiment</x:v>
      </x:c>
      <x:c r="D189" s="38" t="str">
        <x:v>oignons, tomates, ail, gingembre, épices</x:v>
      </x:c>
      <x:c r="E189" s="33" t="n">
        <x:v>20</x:v>
      </x:c>
      <x:c r="F189" s="33" t="n">
        <x:v>35</x:v>
      </x:c>
      <x:c r="G189" s="56" t="n">
        <x:v>2</x:v>
      </x:c>
      <x:c r="H189" s="56" t="n">
        <x:v>4</x:v>
      </x:c>
      <x:c r="I189" s="33" t="n">
        <x:v>0</x:v>
      </x:c>
      <x:c r="J189" s="57" t="n">
        <x:v>4.2</x:v>
      </x:c>
      <x:c r="K189" s="57" t="n">
        <x:f>J189*'Hypothèses &amp; sources'!$E$4</x:f>
        <x:v>4.2</x:v>
      </x:c>
      <x:c r="L189" s="57" t="n">
        <x:f>J189*'Hypothèses &amp; sources'!$F$4</x:f>
        <x:v>4.452000000000001</x:v>
      </x:c>
      <x:c r="M189" s="57" t="n">
        <x:f>J189*'Hypothèses &amp; sources'!$G$4</x:f>
        <x:v>4.620000000000001</x:v>
      </x:c>
      <x:c r="N189" s="57" t="n">
        <x:f>J189*'Hypothèses &amp; sources'!$H$4</x:f>
        <x:v>4.662000000000001</x:v>
      </x:c>
      <x:c r="O189" s="57" t="n">
        <x:f>J189*'Hypothèses &amp; sources'!$I$4</x:f>
        <x:v>5.208</x:v>
      </x:c>
      <x:c r="P189" s="57" t="str">
        <x:v>Lidl</x:v>
      </x:c>
      <x:c r="Q189" s="57" t="n">
        <x:f>IF(P189="Lidl",K189,IF(P189="Super U",L189,IF(P189="Carrefour",M189,IF(P189="Auchan",N189,O189))))</x:f>
        <x:v>4.2</x:v>
      </x:c>
      <x:c r="R189" s="57" t="n">
        <x:f>Q189/'Hypothèses &amp; sources'!$B$4</x:f>
        <x:v>1.05</x:v>
      </x:c>
      <x:c r="S189" s="56" t="n">
        <x:f>MAX(0,'Hypothèses &amp; sources'!$B$5*MAX(0,MIN(100,'Hypothèses &amp; sources'!$B$10-R189*'Hypothèses &amp; sources'!$B$9))+'Hypothèses &amp; sources'!$B$6*(G189/5*100)+'Hypothèses &amp; sources'!$B$7*(H189/5*100)+'Hypothèses &amp; sources'!$B$8*MAX(0,MIN(100,'Hypothèses &amp; sources'!$B$12-E189*'Hypothèses &amp; sources'!$B$11))-T189)</x:f>
        <x:v>56.42800000000001</x:v>
      </x:c>
      <x:c r="T189" s="33" t="n">
        <x:v>18</x:v>
      </x:c>
    </x:row>
    <x:row r="190">
      <x:c r="A190" s="33" t="n">
        <x:v>186</x:v>
      </x:c>
      <x:c r="B190" s="38" t="str">
        <x:v>Coquilles saint-jacques alfredo</x:v>
      </x:c>
      <x:c r="C190" s="38" t="str">
        <x:v>Plat complet</x:v>
      </x:c>
      <x:c r="D190" s="38" t="str">
        <x:v>pâtes / nouilles, coquilles Saint-Jacques, crème / fromage</x:v>
      </x:c>
      <x:c r="E190" s="33" t="n">
        <x:v>20</x:v>
      </x:c>
      <x:c r="F190" s="33" t="n">
        <x:v>40</x:v>
      </x:c>
      <x:c r="G190" s="56" t="n">
        <x:v>3.8</x:v>
      </x:c>
      <x:c r="H190" s="56" t="n">
        <x:v>3.5</x:v>
      </x:c>
      <x:c r="I190" s="33" t="n">
        <x:v>2</x:v>
      </x:c>
      <x:c r="J190" s="57" t="n">
        <x:v>23.2</x:v>
      </x:c>
      <x:c r="K190" s="57" t="n">
        <x:f>J190*'Hypothèses &amp; sources'!$E$4</x:f>
        <x:v>23.2</x:v>
      </x:c>
      <x:c r="L190" s="57" t="n">
        <x:f>J190*'Hypothèses &amp; sources'!$F$4</x:f>
        <x:v>24.592</x:v>
      </x:c>
      <x:c r="M190" s="57" t="n">
        <x:f>J190*'Hypothèses &amp; sources'!$G$4</x:f>
        <x:v>25.52</x:v>
      </x:c>
      <x:c r="N190" s="57" t="n">
        <x:f>J190*'Hypothèses &amp; sources'!$H$4</x:f>
        <x:v>25.752000000000002</x:v>
      </x:c>
      <x:c r="O190" s="57" t="n">
        <x:f>J190*'Hypothèses &amp; sources'!$I$4</x:f>
        <x:v>28.768</x:v>
      </x:c>
      <x:c r="P190" s="57" t="str">
        <x:v>Carrefour</x:v>
      </x:c>
      <x:c r="Q190" s="57" t="n">
        <x:f>IF(P190="Lidl",K190,IF(P190="Super U",L190,IF(P190="Carrefour",M190,IF(P190="Auchan",N190,O190))))</x:f>
        <x:v>25.52</x:v>
      </x:c>
      <x:c r="R190" s="57" t="n">
        <x:f>Q190/'Hypothèses &amp; sources'!$B$4</x:f>
        <x:v>6.38</x:v>
      </x:c>
      <x:c r="S190" s="56" t="n">
        <x:f>MAX(0,'Hypothèses &amp; sources'!$B$5*MAX(0,MIN(100,'Hypothèses &amp; sources'!$B$10-R190*'Hypothèses &amp; sources'!$B$9))+'Hypothèses &amp; sources'!$B$6*(G190/5*100)+'Hypothèses &amp; sources'!$B$7*(H190/5*100)+'Hypothèses &amp; sources'!$B$8*MAX(0,MIN(100,'Hypothèses &amp; sources'!$B$12-E190*'Hypothèses &amp; sources'!$B$11))-T190)</x:f>
        <x:v>55.8448</x:v>
      </x:c>
      <x:c r="T190" s="33" t="n">
        <x:v>0</x:v>
      </x:c>
    </x:row>
    <x:row r="191">
      <x:c r="A191" s="33" t="n">
        <x:v>187</x:v>
      </x:c>
      <x:c r="B191" s="38" t="str">
        <x:v>Pico de gallo verde</x:v>
      </x:c>
      <x:c r="C191" s="38" t="str">
        <x:v>Sauce / condiment</x:v>
      </x:c>
      <x:c r="D191" s="38" t="str">
        <x:v>tomatilles ou tomates vertes, oignon, piment, coriandre, citron vert</x:v>
      </x:c>
      <x:c r="E191" s="33" t="n">
        <x:v>15</x:v>
      </x:c>
      <x:c r="F191" s="33" t="n">
        <x:v>15</x:v>
      </x:c>
      <x:c r="G191" s="56" t="n">
        <x:v>1.5</x:v>
      </x:c>
      <x:c r="H191" s="56" t="n">
        <x:v>4.5</x:v>
      </x:c>
      <x:c r="I191" s="33" t="n">
        <x:v>2</x:v>
      </x:c>
      <x:c r="J191" s="57" t="n">
        <x:v>4.5</x:v>
      </x:c>
      <x:c r="K191" s="57" t="n">
        <x:f>J191*'Hypothèses &amp; sources'!$E$4</x:f>
        <x:v>4.5</x:v>
      </x:c>
      <x:c r="L191" s="57" t="n">
        <x:f>J191*'Hypothèses &amp; sources'!$F$4</x:f>
        <x:v>4.7700000000000005</x:v>
      </x:c>
      <x:c r="M191" s="57" t="n">
        <x:f>J191*'Hypothèses &amp; sources'!$G$4</x:f>
        <x:v>4.95</x:v>
      </x:c>
      <x:c r="N191" s="57" t="n">
        <x:f>J191*'Hypothèses &amp; sources'!$H$4</x:f>
        <x:v>4.995</x:v>
      </x:c>
      <x:c r="O191" s="57" t="n">
        <x:f>J191*'Hypothèses &amp; sources'!$I$4</x:f>
        <x:v>5.58</x:v>
      </x:c>
      <x:c r="P191" s="57" t="str">
        <x:v>Carrefour</x:v>
      </x:c>
      <x:c r="Q191" s="57" t="n">
        <x:f>IF(P191="Lidl",K191,IF(P191="Super U",L191,IF(P191="Carrefour",M191,IF(P191="Auchan",N191,O191))))</x:f>
        <x:v>4.95</x:v>
      </x:c>
      <x:c r="R191" s="57" t="n">
        <x:f>Q191/'Hypothèses &amp; sources'!$B$4</x:f>
        <x:v>1.2375</x:v>
      </x:c>
      <x:c r="S191" s="56" t="n">
        <x:f>MAX(0,'Hypothèses &amp; sources'!$B$5*MAX(0,MIN(100,'Hypothèses &amp; sources'!$B$10-R191*'Hypothèses &amp; sources'!$B$9))+'Hypothèses &amp; sources'!$B$6*(G191/5*100)+'Hypothèses &amp; sources'!$B$7*(H191/5*100)+'Hypothèses &amp; sources'!$B$8*MAX(0,MIN(100,'Hypothèses &amp; sources'!$B$12-E191*'Hypothèses &amp; sources'!$B$11))-T191)</x:f>
        <x:v>55.803</x:v>
      </x:c>
      <x:c r="T191" s="33" t="n">
        <x:v>18</x:v>
      </x:c>
    </x:row>
    <x:row r="192">
      <x:c r="A192" s="33" t="n">
        <x:v>188</x:v>
      </x:c>
      <x:c r="B192" s="38" t="str">
        <x:v>Lamb shanks curry</x:v>
      </x:c>
      <x:c r="C192" s="38" t="str">
        <x:v>Curry / cuisine épicée</x:v>
      </x:c>
      <x:c r="D192" s="38" t="str">
        <x:v>oignon, ail, gingembre, épices, jarrets d’agneau, légumes</x:v>
      </x:c>
      <x:c r="E192" s="33" t="n">
        <x:v>25</x:v>
      </x:c>
      <x:c r="F192" s="33" t="n">
        <x:v>90</x:v>
      </x:c>
      <x:c r="G192" s="56" t="n">
        <x:v>4</x:v>
      </x:c>
      <x:c r="H192" s="56" t="n">
        <x:v>3.3</x:v>
      </x:c>
      <x:c r="I192" s="33" t="n">
        <x:v>1</x:v>
      </x:c>
      <x:c r="J192" s="57" t="n">
        <x:v>23.9</x:v>
      </x:c>
      <x:c r="K192" s="57" t="n">
        <x:f>J192*'Hypothèses &amp; sources'!$E$4</x:f>
        <x:v>23.9</x:v>
      </x:c>
      <x:c r="L192" s="57" t="n">
        <x:f>J192*'Hypothèses &amp; sources'!$F$4</x:f>
        <x:v>25.334</x:v>
      </x:c>
      <x:c r="M192" s="57" t="n">
        <x:f>J192*'Hypothèses &amp; sources'!$G$4</x:f>
        <x:v>26.29</x:v>
      </x:c>
      <x:c r="N192" s="57" t="n">
        <x:f>J192*'Hypothèses &amp; sources'!$H$4</x:f>
        <x:v>26.529</x:v>
      </x:c>
      <x:c r="O192" s="57" t="n">
        <x:f>J192*'Hypothèses &amp; sources'!$I$4</x:f>
        <x:v>29.636</x:v>
      </x:c>
      <x:c r="P192" s="57" t="str">
        <x:v>Carrefour</x:v>
      </x:c>
      <x:c r="Q192" s="57" t="n">
        <x:f>IF(P192="Lidl",K192,IF(P192="Super U",L192,IF(P192="Carrefour",M192,IF(P192="Auchan",N192,O192))))</x:f>
        <x:v>26.29</x:v>
      </x:c>
      <x:c r="R192" s="57" t="n">
        <x:f>Q192/'Hypothèses &amp; sources'!$B$4</x:f>
        <x:v>6.5725</x:v>
      </x:c>
      <x:c r="S192" s="56" t="n">
        <x:f>MAX(0,'Hypothèses &amp; sources'!$B$5*MAX(0,MIN(100,'Hypothèses &amp; sources'!$B$10-R192*'Hypothèses &amp; sources'!$B$9))+'Hypothèses &amp; sources'!$B$6*(G192/5*100)+'Hypothèses &amp; sources'!$B$7*(H192/5*100)+'Hypothèses &amp; sources'!$B$8*MAX(0,MIN(100,'Hypothèses &amp; sources'!$B$12-E192*'Hypothèses &amp; sources'!$B$11))-T192)</x:f>
        <x:v>53.9546</x:v>
      </x:c>
      <x:c r="T192" s="33" t="n">
        <x:v>0</x:v>
      </x:c>
    </x:row>
    <x:row r="193">
      <x:c r="A193" s="33" t="n">
        <x:v>189</x:v>
      </x:c>
      <x:c r="B193" s="38" t="str">
        <x:v>Côtes de bœuf succulentes</x:v>
      </x:c>
      <x:c r="C193" s="38" t="str">
        <x:v>Plat complet</x:v>
      </x:c>
      <x:c r="D193" s="38" t="str">
        <x:v>pièce de bœuf premium</x:v>
      </x:c>
      <x:c r="E193" s="33" t="n">
        <x:v>20</x:v>
      </x:c>
      <x:c r="F193" s="33" t="n">
        <x:v>40</x:v>
      </x:c>
      <x:c r="G193" s="56" t="n">
        <x:v>4.1</x:v>
      </x:c>
      <x:c r="H193" s="56" t="n">
        <x:v>3.1</x:v>
      </x:c>
      <x:c r="I193" s="33" t="n">
        <x:v>1</x:v>
      </x:c>
      <x:c r="J193" s="57" t="n">
        <x:v>24.9</x:v>
      </x:c>
      <x:c r="K193" s="57" t="n">
        <x:f>J193*'Hypothèses &amp; sources'!$E$4</x:f>
        <x:v>24.9</x:v>
      </x:c>
      <x:c r="L193" s="57" t="n">
        <x:f>J193*'Hypothèses &amp; sources'!$F$4</x:f>
        <x:v>26.394</x:v>
      </x:c>
      <x:c r="M193" s="57" t="n">
        <x:f>J193*'Hypothèses &amp; sources'!$G$4</x:f>
        <x:v>27.39</x:v>
      </x:c>
      <x:c r="N193" s="57" t="n">
        <x:f>J193*'Hypothèses &amp; sources'!$H$4</x:f>
        <x:v>27.639</x:v>
      </x:c>
      <x:c r="O193" s="57" t="n">
        <x:f>J193*'Hypothèses &amp; sources'!$I$4</x:f>
        <x:v>30.875999999999998</x:v>
      </x:c>
      <x:c r="P193" s="57" t="str">
        <x:v>Carrefour</x:v>
      </x:c>
      <x:c r="Q193" s="57" t="n">
        <x:f>IF(P193="Lidl",K193,IF(P193="Super U",L193,IF(P193="Carrefour",M193,IF(P193="Auchan",N193,O193))))</x:f>
        <x:v>27.39</x:v>
      </x:c>
      <x:c r="R193" s="57" t="n">
        <x:f>Q193/'Hypothèses &amp; sources'!$B$4</x:f>
        <x:v>6.8475</x:v>
      </x:c>
      <x:c r="S193" s="56" t="n">
        <x:f>MAX(0,'Hypothèses &amp; sources'!$B$5*MAX(0,MIN(100,'Hypothèses &amp; sources'!$B$10-R193*'Hypothèses &amp; sources'!$B$9))+'Hypothèses &amp; sources'!$B$6*(G193/5*100)+'Hypothèses &amp; sources'!$B$7*(H193/5*100)+'Hypothèses &amp; sources'!$B$8*MAX(0,MIN(100,'Hypothèses &amp; sources'!$B$12-E193*'Hypothèses &amp; sources'!$B$11))-T193)</x:f>
        <x:v>53.7286</x:v>
      </x:c>
      <x:c r="T193" s="33" t="n">
        <x:v>0</x:v>
      </x:c>
    </x:row>
    <x:row r="194">
      <x:c r="A194" s="33" t="n">
        <x:v>190</x:v>
      </x:c>
      <x:c r="B194" s="38" t="str">
        <x:v>Tri tip</x:v>
      </x:c>
      <x:c r="C194" s="38" t="str">
        <x:v>Plat complet</x:v>
      </x:c>
      <x:c r="D194" s="38" t="str">
        <x:v>pièce de bœuf premium</x:v>
      </x:c>
      <x:c r="E194" s="33" t="n">
        <x:v>20</x:v>
      </x:c>
      <x:c r="F194" s="33" t="n">
        <x:v>40</x:v>
      </x:c>
      <x:c r="G194" s="56" t="n">
        <x:v>4.1</x:v>
      </x:c>
      <x:c r="H194" s="56" t="n">
        <x:v>3.1</x:v>
      </x:c>
      <x:c r="I194" s="33" t="n">
        <x:v>1</x:v>
      </x:c>
      <x:c r="J194" s="57" t="n">
        <x:v>24.9</x:v>
      </x:c>
      <x:c r="K194" s="57" t="n">
        <x:f>J194*'Hypothèses &amp; sources'!$E$4</x:f>
        <x:v>24.9</x:v>
      </x:c>
      <x:c r="L194" s="57" t="n">
        <x:f>J194*'Hypothèses &amp; sources'!$F$4</x:f>
        <x:v>26.394</x:v>
      </x:c>
      <x:c r="M194" s="57" t="n">
        <x:f>J194*'Hypothèses &amp; sources'!$G$4</x:f>
        <x:v>27.39</x:v>
      </x:c>
      <x:c r="N194" s="57" t="n">
        <x:f>J194*'Hypothèses &amp; sources'!$H$4</x:f>
        <x:v>27.639</x:v>
      </x:c>
      <x:c r="O194" s="57" t="n">
        <x:f>J194*'Hypothèses &amp; sources'!$I$4</x:f>
        <x:v>30.875999999999998</x:v>
      </x:c>
      <x:c r="P194" s="57" t="str">
        <x:v>Carrefour</x:v>
      </x:c>
      <x:c r="Q194" s="57" t="n">
        <x:f>IF(P194="Lidl",K194,IF(P194="Super U",L194,IF(P194="Carrefour",M194,IF(P194="Auchan",N194,O194))))</x:f>
        <x:v>27.39</x:v>
      </x:c>
      <x:c r="R194" s="57" t="n">
        <x:f>Q194/'Hypothèses &amp; sources'!$B$4</x:f>
        <x:v>6.8475</x:v>
      </x:c>
      <x:c r="S194" s="56" t="n">
        <x:f>MAX(0,'Hypothèses &amp; sources'!$B$5*MAX(0,MIN(100,'Hypothèses &amp; sources'!$B$10-R194*'Hypothèses &amp; sources'!$B$9))+'Hypothèses &amp; sources'!$B$6*(G194/5*100)+'Hypothèses &amp; sources'!$B$7*(H194/5*100)+'Hypothèses &amp; sources'!$B$8*MAX(0,MIN(100,'Hypothèses &amp; sources'!$B$12-E194*'Hypothèses &amp; sources'!$B$11))-T194)</x:f>
        <x:v>53.7286</x:v>
      </x:c>
      <x:c r="T194" s="33" t="n">
        <x:v>0</x:v>
      </x:c>
    </x:row>
    <x:row r="195">
      <x:c r="A195" s="33" t="n">
        <x:v>191</x:v>
      </x:c>
      <x:c r="B195" s="38" t="str">
        <x:v>Beef bone broth</x:v>
      </x:c>
      <x:c r="C195" s="38" t="str">
        <x:v>Base / bouillon</x:v>
      </x:c>
      <x:c r="D195" s="38" t="str">
        <x:v>os de bœuf, oignon, carotte, céleri, herbes</x:v>
      </x:c>
      <x:c r="E195" s="33" t="n">
        <x:v>15</x:v>
      </x:c>
      <x:c r="F195" s="33" t="n">
        <x:v>180</x:v>
      </x:c>
      <x:c r="G195" s="56" t="n">
        <x:v>1.5</x:v>
      </x:c>
      <x:c r="H195" s="56" t="n">
        <x:v>3.5</x:v>
      </x:c>
      <x:c r="I195" s="33" t="n">
        <x:v>1</x:v>
      </x:c>
      <x:c r="J195" s="57" t="n">
        <x:v>6.5</x:v>
      </x:c>
      <x:c r="K195" s="57" t="n">
        <x:f>J195*'Hypothèses &amp; sources'!$E$4</x:f>
        <x:v>6.5</x:v>
      </x:c>
      <x:c r="L195" s="57" t="n">
        <x:f>J195*'Hypothèses &amp; sources'!$F$4</x:f>
        <x:v>6.890000000000001</x:v>
      </x:c>
      <x:c r="M195" s="57" t="n">
        <x:f>J195*'Hypothèses &amp; sources'!$G$4</x:f>
        <x:v>7.15</x:v>
      </x:c>
      <x:c r="N195" s="57" t="n">
        <x:f>J195*'Hypothèses &amp; sources'!$H$4</x:f>
        <x:v>7.215000000000001</x:v>
      </x:c>
      <x:c r="O195" s="57" t="n">
        <x:f>J195*'Hypothèses &amp; sources'!$I$4</x:f>
        <x:v>8.06</x:v>
      </x:c>
      <x:c r="P195" s="57" t="str">
        <x:v>Super U</x:v>
      </x:c>
      <x:c r="Q195" s="57" t="n">
        <x:f>IF(P195="Lidl",K195,IF(P195="Super U",L195,IF(P195="Carrefour",M195,IF(P195="Auchan",N195,O195))))</x:f>
        <x:v>6.890000000000001</x:v>
      </x:c>
      <x:c r="R195" s="57" t="n">
        <x:f>Q195/'Hypothèses &amp; sources'!$B$4</x:f>
        <x:v>1.7225000000000001</x:v>
      </x:c>
      <x:c r="S195" s="56" t="n">
        <x:f>MAX(0,'Hypothèses &amp; sources'!$B$5*MAX(0,MIN(100,'Hypothèses &amp; sources'!$B$10-R195*'Hypothèses &amp; sources'!$B$9))+'Hypothèses &amp; sources'!$B$6*(G195/5*100)+'Hypothèses &amp; sources'!$B$7*(H195/5*100)+'Hypothèses &amp; sources'!$B$8*MAX(0,MIN(100,'Hypothèses &amp; sources'!$B$12-E195*'Hypothèses &amp; sources'!$B$11))-T195)</x:f>
        <x:v>49.7586</x:v>
      </x:c>
      <x:c r="T195" s="33" t="n">
        <x:v>18</x:v>
      </x:c>
    </x:row>
    <x:row r="196">
      <x:c r="A196" s="33" t="n">
        <x:v>192</x:v>
      </x:c>
      <x:c r="B196" s="38" t="str">
        <x:v>Stock de poisson</x:v>
      </x:c>
      <x:c r="C196" s="38" t="str">
        <x:v>Base / bouillon</x:v>
      </x:c>
      <x:c r="D196" s="38" t="str">
        <x:v>arêtes de poisson, oignon, carotte, céleri, herbes</x:v>
      </x:c>
      <x:c r="E196" s="33" t="n">
        <x:v>15</x:v>
      </x:c>
      <x:c r="F196" s="33" t="n">
        <x:v>45</x:v>
      </x:c>
      <x:c r="G196" s="56" t="n">
        <x:v>1</x:v>
      </x:c>
      <x:c r="H196" s="56" t="n">
        <x:v>3</x:v>
      </x:c>
      <x:c r="I196" s="33" t="n">
        <x:v>1</x:v>
      </x:c>
      <x:c r="J196" s="57" t="n">
        <x:v>4</x:v>
      </x:c>
      <x:c r="K196" s="57" t="n">
        <x:f>J196*'Hypothèses &amp; sources'!$E$4</x:f>
        <x:v>4</x:v>
      </x:c>
      <x:c r="L196" s="57" t="n">
        <x:f>J196*'Hypothèses &amp; sources'!$F$4</x:f>
        <x:v>4.24</x:v>
      </x:c>
      <x:c r="M196" s="57" t="n">
        <x:f>J196*'Hypothèses &amp; sources'!$G$4</x:f>
        <x:v>4.4</x:v>
      </x:c>
      <x:c r="N196" s="57" t="n">
        <x:f>J196*'Hypothèses &amp; sources'!$H$4</x:f>
        <x:v>4.44</x:v>
      </x:c>
      <x:c r="O196" s="57" t="n">
        <x:f>J196*'Hypothèses &amp; sources'!$I$4</x:f>
        <x:v>4.96</x:v>
      </x:c>
      <x:c r="P196" s="57" t="str">
        <x:v>Super U</x:v>
      </x:c>
      <x:c r="Q196" s="57" t="n">
        <x:f>IF(P196="Lidl",K196,IF(P196="Super U",L196,IF(P196="Carrefour",M196,IF(P196="Auchan",N196,O196))))</x:f>
        <x:v>4.24</x:v>
      </x:c>
      <x:c r="R196" s="57" t="n">
        <x:f>Q196/'Hypothèses &amp; sources'!$B$4</x:f>
        <x:v>1.06</x:v>
      </x:c>
      <x:c r="S196" s="56" t="n">
        <x:f>MAX(0,'Hypothèses &amp; sources'!$B$5*MAX(0,MIN(100,'Hypothèses &amp; sources'!$B$10-R196*'Hypothèses &amp; sources'!$B$9))+'Hypothèses &amp; sources'!$B$6*(G196/5*100)+'Hypothèses &amp; sources'!$B$7*(H196/5*100)+'Hypothèses &amp; sources'!$B$8*MAX(0,MIN(100,'Hypothèses &amp; sources'!$B$12-E196*'Hypothèses &amp; sources'!$B$11))-T196)</x:f>
        <x:v>48.49759999999999</x:v>
      </x:c>
      <x:c r="T196" s="33" t="n">
        <x:v>18</x:v>
      </x:c>
    </x:row>
    <x:row r="197">
      <x:c r="A197" s="33" t="n">
        <x:v>193</x:v>
      </x:c>
      <x:c r="B197" s="38" t="str">
        <x:v>Agua fresca fruitée</x:v>
      </x:c>
      <x:c r="C197" s="38" t="str">
        <x:v>Boisson</x:v>
      </x:c>
      <x:c r="D197" s="38" t="str">
        <x:v>fruits, eau, citron, sucre</x:v>
      </x:c>
      <x:c r="E197" s="33" t="n">
        <x:v>10</x:v>
      </x:c>
      <x:c r="F197" s="33" t="n">
        <x:v>10</x:v>
      </x:c>
      <x:c r="G197" s="56" t="n">
        <x:v>1.5</x:v>
      </x:c>
      <x:c r="H197" s="56" t="n">
        <x:v>3.5</x:v>
      </x:c>
      <x:c r="I197" s="33" t="n">
        <x:v>0</x:v>
      </x:c>
      <x:c r="J197" s="57" t="n">
        <x:v>4.5</x:v>
      </x:c>
      <x:c r="K197" s="57" t="n">
        <x:f>J197*'Hypothèses &amp; sources'!$E$4</x:f>
        <x:v>4.5</x:v>
      </x:c>
      <x:c r="L197" s="57" t="n">
        <x:f>J197*'Hypothèses &amp; sources'!$F$4</x:f>
        <x:v>4.7700000000000005</x:v>
      </x:c>
      <x:c r="M197" s="57" t="n">
        <x:f>J197*'Hypothèses &amp; sources'!$G$4</x:f>
        <x:v>4.95</x:v>
      </x:c>
      <x:c r="N197" s="57" t="n">
        <x:f>J197*'Hypothèses &amp; sources'!$H$4</x:f>
        <x:v>4.995</x:v>
      </x:c>
      <x:c r="O197" s="57" t="n">
        <x:f>J197*'Hypothèses &amp; sources'!$I$4</x:f>
        <x:v>5.58</x:v>
      </x:c>
      <x:c r="P197" s="57" t="str">
        <x:v>Lidl</x:v>
      </x:c>
      <x:c r="Q197" s="57" t="n">
        <x:f>IF(P197="Lidl",K197,IF(P197="Super U",L197,IF(P197="Carrefour",M197,IF(P197="Auchan",N197,O197))))</x:f>
        <x:v>4.5</x:v>
      </x:c>
      <x:c r="R197" s="57" t="n">
        <x:f>Q197/'Hypothèses &amp; sources'!$B$4</x:f>
        <x:v>1.125</x:v>
      </x:c>
      <x:c r="S197" s="56" t="n">
        <x:f>MAX(0,'Hypothèses &amp; sources'!$B$5*MAX(0,MIN(100,'Hypothèses &amp; sources'!$B$10-R197*'Hypothèses &amp; sources'!$B$9))+'Hypothèses &amp; sources'!$B$6*(G197/5*100)+'Hypothèses &amp; sources'!$B$7*(H197/5*100)+'Hypothèses &amp; sources'!$B$8*MAX(0,MIN(100,'Hypothèses &amp; sources'!$B$12-E197*'Hypothèses &amp; sources'!$B$11))-T197)</x:f>
        <x:v>47.09</x:v>
      </x:c>
      <x:c r="T197" s="33" t="n">
        <x:v>25</x:v>
      </x:c>
    </x:row>
    <x:row r="198">
      <x:c r="A198" s="33" t="n">
        <x:v>194</x:v>
      </x:c>
      <x:c r="B198" s="38" t="str">
        <x:v>Rack of lamb</x:v>
      </x:c>
      <x:c r="C198" s="38" t="str">
        <x:v>Plat complet</x:v>
      </x:c>
      <x:c r="D198" s="38" t="str">
        <x:v>carré d’agneau</x:v>
      </x:c>
      <x:c r="E198" s="33" t="n">
        <x:v>20</x:v>
      </x:c>
      <x:c r="F198" s="33" t="n">
        <x:v>40</x:v>
      </x:c>
      <x:c r="G198" s="56" t="n">
        <x:v>3.9</x:v>
      </x:c>
      <x:c r="H198" s="56" t="n">
        <x:v>3.1</x:v>
      </x:c>
      <x:c r="I198" s="33" t="n">
        <x:v>2</x:v>
      </x:c>
      <x:c r="J198" s="57" t="n">
        <x:v>29.9</x:v>
      </x:c>
      <x:c r="K198" s="57" t="n">
        <x:f>J198*'Hypothèses &amp; sources'!$E$4</x:f>
        <x:v>29.9</x:v>
      </x:c>
      <x:c r="L198" s="57" t="n">
        <x:f>J198*'Hypothèses &amp; sources'!$F$4</x:f>
        <x:v>31.694</x:v>
      </x:c>
      <x:c r="M198" s="57" t="n">
        <x:f>J198*'Hypothèses &amp; sources'!$G$4</x:f>
        <x:v>32.89</x:v>
      </x:c>
      <x:c r="N198" s="57" t="n">
        <x:f>J198*'Hypothèses &amp; sources'!$H$4</x:f>
        <x:v>33.189</x:v>
      </x:c>
      <x:c r="O198" s="57" t="n">
        <x:f>J198*'Hypothèses &amp; sources'!$I$4</x:f>
        <x:v>37.076</x:v>
      </x:c>
      <x:c r="P198" s="57" t="str">
        <x:v>Carrefour</x:v>
      </x:c>
      <x:c r="Q198" s="57" t="n">
        <x:f>IF(P198="Lidl",K198,IF(P198="Super U",L198,IF(P198="Carrefour",M198,IF(P198="Auchan",N198,O198))))</x:f>
        <x:v>32.89</x:v>
      </x:c>
      <x:c r="R198" s="57" t="n">
        <x:f>Q198/'Hypothèses &amp; sources'!$B$4</x:f>
        <x:v>8.2225</x:v>
      </x:c>
      <x:c r="S198" s="56" t="n">
        <x:f>MAX(0,'Hypothèses &amp; sources'!$B$5*MAX(0,MIN(100,'Hypothèses &amp; sources'!$B$10-R198*'Hypothèses &amp; sources'!$B$9))+'Hypothèses &amp; sources'!$B$6*(G198/5*100)+'Hypothèses &amp; sources'!$B$7*(H198/5*100)+'Hypothèses &amp; sources'!$B$8*MAX(0,MIN(100,'Hypothèses &amp; sources'!$B$12-E198*'Hypothèses &amp; sources'!$B$11))-T198)</x:f>
        <x:v>45.6786</x:v>
      </x:c>
      <x:c r="T198" s="33" t="n">
        <x:v>0</x:v>
      </x:c>
    </x:row>
    <x:row r="199">
      <x:c r="A199" s="33" t="n">
        <x:v>195</x:v>
      </x:c>
      <x:c r="B199" s="38" t="str">
        <x:v>Homard et mais à la vapeur</x:v>
      </x:c>
      <x:c r="C199" s="38" t="str">
        <x:v>Plat complet</x:v>
      </x:c>
      <x:c r="D199" s="38" t="str">
        <x:v>maïs, homard</x:v>
      </x:c>
      <x:c r="E199" s="33" t="n">
        <x:v>15</x:v>
      </x:c>
      <x:c r="F199" s="33" t="n">
        <x:v>35</x:v>
      </x:c>
      <x:c r="G199" s="56" t="n">
        <x:v>3.7</x:v>
      </x:c>
      <x:c r="H199" s="56" t="n">
        <x:v>3.6</x:v>
      </x:c>
      <x:c r="I199" s="33" t="n">
        <x:v>2</x:v>
      </x:c>
      <x:c r="J199" s="57" t="n">
        <x:v>32.4</x:v>
      </x:c>
      <x:c r="K199" s="57" t="n">
        <x:f>J199*'Hypothèses &amp; sources'!$E$4</x:f>
        <x:v>32.4</x:v>
      </x:c>
      <x:c r="L199" s="57" t="n">
        <x:f>J199*'Hypothèses &amp; sources'!$F$4</x:f>
        <x:v>34.344</x:v>
      </x:c>
      <x:c r="M199" s="57" t="n">
        <x:f>J199*'Hypothèses &amp; sources'!$G$4</x:f>
        <x:v>35.64</x:v>
      </x:c>
      <x:c r="N199" s="57" t="n">
        <x:f>J199*'Hypothèses &amp; sources'!$H$4</x:f>
        <x:v>35.964</x:v>
      </x:c>
      <x:c r="O199" s="57" t="n">
        <x:f>J199*'Hypothèses &amp; sources'!$I$4</x:f>
        <x:v>40.175999999999995</x:v>
      </x:c>
      <x:c r="P199" s="57" t="str">
        <x:v>Carrefour</x:v>
      </x:c>
      <x:c r="Q199" s="57" t="n">
        <x:f>IF(P199="Lidl",K199,IF(P199="Super U",L199,IF(P199="Carrefour",M199,IF(P199="Auchan",N199,O199))))</x:f>
        <x:v>35.64</x:v>
      </x:c>
      <x:c r="R199" s="57" t="n">
        <x:f>Q199/'Hypothèses &amp; sources'!$B$4</x:f>
        <x:v>8.91</x:v>
      </x:c>
      <x:c r="S199" s="56" t="n">
        <x:f>MAX(0,'Hypothèses &amp; sources'!$B$5*MAX(0,MIN(100,'Hypothèses &amp; sources'!$B$10-R199*'Hypothèses &amp; sources'!$B$9))+'Hypothèses &amp; sources'!$B$6*(G199/5*100)+'Hypothèses &amp; sources'!$B$7*(H199/5*100)+'Hypothèses &amp; sources'!$B$8*MAX(0,MIN(100,'Hypothèses &amp; sources'!$B$12-E199*'Hypothèses &amp; sources'!$B$11))-T199)</x:f>
        <x:v>44.2136</x:v>
      </x:c>
      <x:c r="T199" s="33" t="n">
        <x:v>0</x:v>
      </x:c>
    </x:row>
    <x:row r="200">
      <x:c r="A200" s="33" t="n">
        <x:v>196</x:v>
      </x:c>
      <x:c r="B200" s="38" t="str">
        <x:v>Limoncello</x:v>
      </x:c>
      <x:c r="C200" s="38" t="str">
        <x:v>Boisson / liqueur</x:v>
      </x:c>
      <x:c r="D200" s="38" t="str">
        <x:v>citrons, sucre, alcool neutre</x:v>
      </x:c>
      <x:c r="E200" s="33" t="n">
        <x:v>20</x:v>
      </x:c>
      <x:c r="F200" s="33" t="n">
        <x:v>10080</x:v>
      </x:c>
      <x:c r="G200" s="56" t="n">
        <x:v>0.5</x:v>
      </x:c>
      <x:c r="H200" s="56" t="n">
        <x:v>1</x:v>
      </x:c>
      <x:c r="I200" s="33" t="n">
        <x:v>1</x:v>
      </x:c>
      <x:c r="J200" s="57" t="n">
        <x:v>12</x:v>
      </x:c>
      <x:c r="K200" s="57" t="n">
        <x:f>J200*'Hypothèses &amp; sources'!$E$4</x:f>
        <x:v>12</x:v>
      </x:c>
      <x:c r="L200" s="57" t="n">
        <x:f>J200*'Hypothèses &amp; sources'!$F$4</x:f>
        <x:v>12.72</x:v>
      </x:c>
      <x:c r="M200" s="57" t="n">
        <x:f>J200*'Hypothèses &amp; sources'!$G$4</x:f>
        <x:v>13.200000000000001</x:v>
      </x:c>
      <x:c r="N200" s="57" t="n">
        <x:f>J200*'Hypothèses &amp; sources'!$H$4</x:f>
        <x:v>13.32</x:v>
      </x:c>
      <x:c r="O200" s="57" t="n">
        <x:f>J200*'Hypothèses &amp; sources'!$I$4</x:f>
        <x:v>14.879999999999999</x:v>
      </x:c>
      <x:c r="P200" s="57" t="str">
        <x:v>Super U</x:v>
      </x:c>
      <x:c r="Q200" s="57" t="n">
        <x:f>IF(P200="Lidl",K200,IF(P200="Super U",L200,IF(P200="Carrefour",M200,IF(P200="Auchan",N200,O200))))</x:f>
        <x:v>12.72</x:v>
      </x:c>
      <x:c r="R200" s="57" t="n">
        <x:f>Q200/'Hypothèses &amp; sources'!$B$4</x:f>
        <x:v>3.18</x:v>
      </x:c>
      <x:c r="S200" s="56" t="n">
        <x:f>MAX(0,'Hypothèses &amp; sources'!$B$5*MAX(0,MIN(100,'Hypothèses &amp; sources'!$B$10-R200*'Hypothèses &amp; sources'!$B$9))+'Hypothèses &amp; sources'!$B$6*(G200/5*100)+'Hypothèses &amp; sources'!$B$7*(H200/5*100)+'Hypothèses &amp; sources'!$B$8*MAX(0,MIN(100,'Hypothèses &amp; sources'!$B$12-E200*'Hypothèses &amp; sources'!$B$11))-T200)</x:f>
        <x:v>19.492800000000003</x:v>
      </x:c>
      <x:c r="T200" s="33" t="n">
        <x:v>25</x:v>
      </x:c>
    </x:row>
  </x:sheetData>
  <x:mergeCells>
    <x:mergeCell ref="A1:T1"/>
    <x:mergeCell ref="A2:T2"/>
  </x:mergeCells>
  <x:conditionalFormatting sqref="Q5:Q174">
    <x:cfRule type="colorScale" priority="1">
      <x:colorScale>
        <x:cfvo type="min"/>
        <x:cfvo type="percentile" val="50"/>
        <x:cfvo type="max"/>
        <x:color rgb="FFE2F0D9"/>
        <x:color rgb="FFFFF2CC"/>
        <x:color rgb="FFF4CCCC"/>
      </x:colorScale>
    </x:cfRule>
  </x:conditionalFormatting>
  <x:conditionalFormatting sqref="S5:S174">
    <x:cfRule type="dataBar" priority="2">
      <x:dataBar>
        <x:cfvo type="min"/>
        <x:cfvo type="max"/>
        <x:color rgb="FF5B9BD5"/>
      </x:dataBar>
      <x:extLst>
        <x:ext xmlns:x14="http://schemas.microsoft.com/office/spreadsheetml/2009/9/main" uri="{B025F937-C7B1-47D3-B67F-A62EFF666E3E}">
          <x14:id>{38942B81-6207-E5F3-FAF8-843B50CEC030}</x14:id>
        </x:ext>
      </x:extLst>
    </x:cfRule>
  </x:conditionalFormatting>
  <x:conditionalFormatting sqref="G5:G174">
    <x:cfRule type="dataBar" priority="3">
      <x:dataBar>
        <x:cfvo type="min"/>
        <x:cfvo type="max"/>
        <x:color rgb="FF70AD47"/>
      </x:dataBar>
      <x:extLst>
        <x:ext xmlns:x14="http://schemas.microsoft.com/office/spreadsheetml/2009/9/main" uri="{B025F937-C7B1-47D3-B67F-A62EFF666E3E}">
          <x14:id>{11AD3D6D-20F5-41E6-8687-8851808A518C}</x14:id>
        </x:ext>
      </x:extLst>
    </x:cfRule>
  </x:conditionalFormatting>
  <x:conditionalFormatting sqref="E5:E174">
    <x:cfRule type="colorScale" priority="4">
      <x:colorScale>
        <x:cfvo type="min"/>
        <x:cfvo type="percentile" val="50"/>
        <x:cfvo type="max"/>
        <x:color rgb="FFE2F0D9"/>
        <x:color rgb="FFFFF2CC"/>
        <x:color rgb="FFF4CCCC"/>
      </x:colorScale>
    </x:cfRule>
  </x:conditionalFormatting>
  <x:conditionalFormatting sqref="Q5:Q200">
    <x:cfRule type="colorScale" priority="5">
      <x:colorScale>
        <x:cfvo type="min"/>
        <x:cfvo type="percentile" val="50"/>
        <x:cfvo type="max"/>
        <x:color rgb="FFE2F0D9"/>
        <x:color rgb="FFFFF2CC"/>
        <x:color rgb="FFF4CCCC"/>
      </x:colorScale>
    </x:cfRule>
  </x:conditionalFormatting>
  <x:conditionalFormatting sqref="S5:S200">
    <x:cfRule type="dataBar" priority="6">
      <x:dataBar>
        <x:cfvo type="min"/>
        <x:cfvo type="max"/>
        <x:color rgb="FF5B9BD5"/>
      </x:dataBar>
      <x:extLst>
        <x:ext xmlns:x14="http://schemas.microsoft.com/office/spreadsheetml/2009/9/main" uri="{B025F937-C7B1-47D3-B67F-A62EFF666E3E}">
          <x14:id>{18141301-D3D0-4601-292D-BC0B9A784BA5}</x14:id>
        </x:ext>
      </x:extLst>
    </x:cfRule>
  </x:conditionalFormatting>
  <x:conditionalFormatting sqref="G5:G200">
    <x:cfRule type="dataBar" priority="7">
      <x:dataBar>
        <x:cfvo type="min"/>
        <x:cfvo type="max"/>
        <x:color rgb="FF70AD47"/>
      </x:dataBar>
      <x:extLst>
        <x:ext xmlns:x14="http://schemas.microsoft.com/office/spreadsheetml/2009/9/main" uri="{B025F937-C7B1-47D3-B67F-A62EFF666E3E}">
          <x14:id>{BD4ECBA9-F25B-B8C5-9107-2F40751235FA}</x14:id>
        </x:ext>
      </x:extLst>
    </x:cfRule>
  </x:conditionalFormatting>
  <x:conditionalFormatting sqref="E5:E200">
    <x:cfRule type="colorScale" priority="8">
      <x:colorScale>
        <x:cfvo type="min"/>
        <x:cfvo type="percentile" val="50"/>
        <x:cfvo type="max"/>
        <x:color rgb="FFE2F0D9"/>
        <x:color rgb="FFFFF2CC"/>
        <x:color rgb="FFF4CCCC"/>
      </x:colorScale>
    </x:cfRule>
  </x:conditionalFormatting>
  <x:pageMargins left="0.7" right="0.7" top="0.75" bottom="0.75" header="0.3" footer="0.3"/>
  <x:tableParts count="1">
    <x:tablePart xmlns:r="http://schemas.openxmlformats.org/officeDocument/2006/relationships" r:id="Raf8594b79e304395"/>
  </x:tableParts>
  <x:extLst>
    <x:ext xmlns:x14="http://schemas.microsoft.com/office/spreadsheetml/2009/9/main" xmlns:xm="http://schemas.microsoft.com/office/excel/2006/main" uri="{78C0D931-6437-407d-A8EE-F0AAD7539E65}">
      <x14:conditionalFormattings>
        <x14:conditionalFormatting>
          <x14:cfRule type="dataBar" priority="2" id="{38942B81-6207-E5F3-FAF8-843B50CEC030}">
            <x14:dataBar gradient="1">
              <x14:cfvo type="min"/>
              <x14:cfvo type="max"/>
              <x14:fillColor rgb="FF5B9BD5"/>
            </x14:dataBar>
          </x14:cfRule>
          <xm:sqref>S5:S174</xm:sqref>
        </x14:conditionalFormatting>
        <x14:conditionalFormatting>
          <x14:cfRule type="dataBar" priority="3" id="{11AD3D6D-20F5-41E6-8687-8851808A518C}">
            <x14:dataBar gradient="1">
              <x14:cfvo type="min"/>
              <x14:cfvo type="max"/>
              <x14:fillColor rgb="FF70AD47"/>
            </x14:dataBar>
          </x14:cfRule>
          <xm:sqref>G5:G174</xm:sqref>
        </x14:conditionalFormatting>
        <x14:conditionalFormatting>
          <x14:cfRule type="dataBar" priority="6" id="{18141301-D3D0-4601-292D-BC0B9A784BA5}">
            <x14:dataBar gradient="1">
              <x14:cfvo type="min"/>
              <x14:cfvo type="max"/>
              <x14:fillColor rgb="FF5B9BD5"/>
            </x14:dataBar>
          </x14:cfRule>
          <xm:sqref>S5:S200</xm:sqref>
        </x14:conditionalFormatting>
        <x14:conditionalFormatting>
          <x14:cfRule type="dataBar" priority="7" id="{BD4ECBA9-F25B-B8C5-9107-2F40751235FA}">
            <x14:dataBar gradient="1">
              <x14:cfvo type="min"/>
              <x14:cfvo type="max"/>
              <x14:fillColor rgb="FF70AD47"/>
            </x14:dataBar>
          </x14:cfRule>
          <xm:sqref>G5:G200</xm:sqref>
        </x14:conditionalFormatting>
      </x14:conditionalFormattings>
    </x:ext>
  </x:extLst>
</x:worksheet>
</file>

<file path=xl/worksheets/sheet3.xml><?xml version="1.0" encoding="utf-8"?>
<x:worksheet xmlns:x="http://schemas.openxmlformats.org/spreadsheetml/2006/main">
  <x:sheetFormatPr defaultRowHeight="15"/>
  <x:cols>
    <x:col min="1" max="1" width="8" hidden="0" customWidth="1"/>
    <x:col min="2" max="2" width="37" hidden="0" customWidth="1"/>
    <x:col min="3" max="3" width="24" hidden="0" customWidth="1"/>
    <x:col min="4" max="4" width="58" hidden="0" customWidth="1"/>
    <x:col min="5" max="5" width="14" hidden="0" customWidth="1"/>
    <x:col min="6" max="6" width="14" hidden="0" customWidth="1"/>
    <x:col min="7" max="7" width="12" hidden="0" customWidth="1"/>
    <x:col min="8" max="8" width="12" hidden="0" customWidth="1"/>
    <x:col min="9" max="9" width="12"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20" hidden="0" customWidth="1"/>
    <x:col min="17" max="17" width="14" hidden="0" customWidth="1"/>
    <x:col min="18" max="18" width="14" hidden="0" customWidth="1"/>
    <x:col min="19" max="19" width="17" hidden="0" customWidth="1"/>
    <x:col min="20" max="20" width="13" hidden="0" customWidth="1"/>
  </x:cols>
  <x:sheetData>
    <x:row r="1" ht="30" customHeight="1">
      <x:c r="A1" s="5" t="str">
        <x:v>Prix croissant</x:v>
      </x:c>
      <x:c r="B1" s="5"/>
      <x:c r="C1" s="5"/>
      <x:c r="D1" s="5"/>
      <x:c r="E1" s="5"/>
      <x:c r="F1" s="5"/>
      <x:c r="G1" s="5"/>
      <x:c r="H1" s="5"/>
      <x:c r="I1" s="5"/>
      <x:c r="J1" s="5"/>
      <x:c r="K1" s="5"/>
      <x:c r="L1" s="5"/>
      <x:c r="M1" s="5"/>
      <x:c r="N1" s="5"/>
      <x:c r="O1" s="5"/>
      <x:c r="P1" s="5"/>
      <x:c r="Q1" s="5"/>
      <x:c r="R1" s="5"/>
      <x:c r="S1" s="5"/>
      <x:c r="T1" s="5"/>
    </x:row>
    <x:row r="2" ht="32" customHeight="1">
      <x:c r="A2" s="26" t="str">
        <x:v>Coûts estimés pour 4 portions. Le magasin recommandé combine prix et probabilité de trouver les ingrédients.</x:v>
      </x:c>
      <x:c r="B2" s="26"/>
      <x:c r="C2" s="26"/>
      <x:c r="D2" s="26"/>
      <x:c r="E2" s="26"/>
      <x:c r="F2" s="26"/>
      <x:c r="G2" s="26"/>
      <x:c r="H2" s="26"/>
      <x:c r="I2" s="26"/>
      <x:c r="J2" s="26"/>
      <x:c r="K2" s="26"/>
      <x:c r="L2" s="26"/>
      <x:c r="M2" s="26"/>
      <x:c r="N2" s="26"/>
      <x:c r="O2" s="26"/>
      <x:c r="P2" s="26"/>
      <x:c r="Q2" s="26"/>
      <x:c r="R2" s="26"/>
      <x:c r="S2" s="26"/>
      <x:c r="T2" s="26"/>
    </x:row>
    <x:row r="4" ht="38" customHeight="1">
      <x:c r="A4" s="83" t="str">
        <x:v>Rang</x:v>
      </x:c>
      <x:c r="B4" s="83" t="str">
        <x:v>Recette</x:v>
      </x:c>
      <x:c r="C4" s="83" t="str">
        <x:v>Catégorie</x:v>
      </x:c>
      <x:c r="D4" s="83" t="str">
        <x:v>Ingrédients principaux estimés</x:v>
      </x:c>
      <x:c r="E4" s="83" t="str">
        <x:v>Préparation active (min)</x:v>
      </x:c>
      <x:c r="F4" s="83" t="str">
        <x:v>Temps total (min)</x:v>
      </x:c>
      <x:c r="G4" s="83" t="str">
        <x:v>Satiété estimée /5</x:v>
      </x:c>
      <x:c r="H4" s="83" t="str">
        <x:v>Équilibre /5</x:v>
      </x:c>
      <x:c r="I4" s="83" t="str">
        <x:v>Spécialité 0–2</x:v>
      </x:c>
      <x:c r="J4" s="83" t="str">
        <x:v>Base Lidl estimée</x:v>
      </x:c>
      <x:c r="K4" s="83" t="str">
        <x:v>Lidl</x:v>
      </x:c>
      <x:c r="L4" s="83" t="str">
        <x:v>Super U</x:v>
      </x:c>
      <x:c r="M4" s="83" t="str">
        <x:v>Carrefour</x:v>
      </x:c>
      <x:c r="N4" s="83" t="str">
        <x:v>Auchan</x:v>
      </x:c>
      <x:c r="O4" s="83" t="str">
        <x:v>Monoprix</x:v>
      </x:c>
      <x:c r="P4" s="83" t="str">
        <x:v>Enseigne recommandée</x:v>
      </x:c>
      <x:c r="Q4" s="83" t="str">
        <x:v>Coût recommandé</x:v>
      </x:c>
      <x:c r="R4" s="83" t="str">
        <x:v>Coût / portion</x:v>
      </x:c>
      <x:c r="S4" s="83" t="str">
        <x:v>Score qualité-prix /100</x:v>
      </x:c>
      <x:c r="T4" s="83" t="str">
        <x:v>Pénalité complétude</x:v>
      </x:c>
    </x:row>
    <x:row r="5">
      <x:c r="A5" s="33" t="n">
        <x:v>1</x:v>
      </x:c>
      <x:c r="B5" s="38" t="str">
        <x:v>Perfectly simple white rice</x:v>
      </x:c>
      <x:c r="C5" s="38" t="str">
        <x:v>Riz / accompagnement</x:v>
      </x:c>
      <x:c r="D5" s="38" t="str">
        <x:v>riz blanc, eau, sel</x:v>
      </x:c>
      <x:c r="E5" s="33" t="n">
        <x:v>5</x:v>
      </x:c>
      <x:c r="F5" s="33" t="n">
        <x:v>20</x:v>
      </x:c>
      <x:c r="G5" s="56" t="n">
        <x:v>3.5</x:v>
      </x:c>
      <x:c r="H5" s="56" t="n">
        <x:v>2.8</x:v>
      </x:c>
      <x:c r="I5" s="33" t="n">
        <x:v>0</x:v>
      </x:c>
      <x:c r="J5" s="57" t="n">
        <x:v>1.8</x:v>
      </x:c>
      <x:c r="K5" s="57" t="n">
        <x:f>J5*'Hypothèses &amp; sources'!$E$4</x:f>
        <x:v>1.8</x:v>
      </x:c>
      <x:c r="L5" s="57" t="n">
        <x:f>J5*'Hypothèses &amp; sources'!$F$4</x:f>
        <x:v>1.9080000000000001</x:v>
      </x:c>
      <x:c r="M5" s="57" t="n">
        <x:f>J5*'Hypothèses &amp; sources'!$G$4</x:f>
        <x:v>1.9800000000000002</x:v>
      </x:c>
      <x:c r="N5" s="57" t="n">
        <x:f>J5*'Hypothèses &amp; sources'!$H$4</x:f>
        <x:v>1.9980000000000002</x:v>
      </x:c>
      <x:c r="O5" s="57" t="n">
        <x:f>J5*'Hypothèses &amp; sources'!$I$4</x:f>
        <x:v>2.232</x:v>
      </x:c>
      <x:c r="P5" s="57" t="str">
        <x:v>Lidl</x:v>
      </x:c>
      <x:c r="Q5" s="57" t="n">
        <x:f>IF(P5="Lidl",K5,IF(P5="Super U",L5,IF(P5="Carrefour",M5,IF(P5="Auchan",N5,O5))))</x:f>
        <x:v>1.8</x:v>
      </x:c>
      <x:c r="R5" s="57" t="n">
        <x:f>Q5/'Hypothèses &amp; sources'!$B$4</x:f>
        <x:v>0.45</x:v>
      </x:c>
      <x:c r="S5" s="56" t="n">
        <x:f>MAX(0,'Hypothèses &amp; sources'!$B$5*MAX(0,MIN(100,'Hypothèses &amp; sources'!$B$10-R5*'Hypothèses &amp; sources'!$B$9))+'Hypothèses &amp; sources'!$B$6*(G5/5*100)+'Hypothèses &amp; sources'!$B$7*(H5/5*100)+'Hypothèses &amp; sources'!$B$8*MAX(0,MIN(100,'Hypothèses &amp; sources'!$B$12-E5*'Hypothèses &amp; sources'!$B$11))-T5)</x:f>
        <x:v>75.56</x:v>
      </x:c>
      <x:c r="T5" s="33" t="n">
        <x:v>8</x:v>
      </x:c>
    </x:row>
    <x:row r="6">
      <x:c r="A6" s="33" t="n">
        <x:v>2</x:v>
      </x:c>
      <x:c r="B6" s="38" t="str">
        <x:v>Basic jasmine rice</x:v>
      </x:c>
      <x:c r="C6" s="38" t="str">
        <x:v>Riz / accompagnement</x:v>
      </x:c>
      <x:c r="D6" s="38" t="str">
        <x:v>riz jasmin, eau, sel</x:v>
      </x:c>
      <x:c r="E6" s="33" t="n">
        <x:v>5</x:v>
      </x:c>
      <x:c r="F6" s="33" t="n">
        <x:v>20</x:v>
      </x:c>
      <x:c r="G6" s="56" t="n">
        <x:v>3.6</x:v>
      </x:c>
      <x:c r="H6" s="56" t="n">
        <x:v>3.2</x:v>
      </x:c>
      <x:c r="I6" s="33" t="n">
        <x:v>0</x:v>
      </x:c>
      <x:c r="J6" s="57" t="n">
        <x:v>2.2</x:v>
      </x:c>
      <x:c r="K6" s="57" t="n">
        <x:f>J6*'Hypothèses &amp; sources'!$E$4</x:f>
        <x:v>2.2</x:v>
      </x:c>
      <x:c r="L6" s="57" t="n">
        <x:f>J6*'Hypothèses &amp; sources'!$F$4</x:f>
        <x:v>2.3320000000000003</x:v>
      </x:c>
      <x:c r="M6" s="57" t="n">
        <x:f>J6*'Hypothèses &amp; sources'!$G$4</x:f>
        <x:v>2.4200000000000004</x:v>
      </x:c>
      <x:c r="N6" s="57" t="n">
        <x:f>J6*'Hypothèses &amp; sources'!$H$4</x:f>
        <x:v>2.4420000000000006</x:v>
      </x:c>
      <x:c r="O6" s="57" t="n">
        <x:f>J6*'Hypothèses &amp; sources'!$I$4</x:f>
        <x:v>2.728</x:v>
      </x:c>
      <x:c r="P6" s="57" t="str">
        <x:v>Lidl</x:v>
      </x:c>
      <x:c r="Q6" s="57" t="n">
        <x:f>IF(P6="Lidl",K6,IF(P6="Super U",L6,IF(P6="Carrefour",M6,IF(P6="Auchan",N6,O6))))</x:f>
        <x:v>2.2</x:v>
      </x:c>
      <x:c r="R6" s="57" t="n">
        <x:f>Q6/'Hypothèses &amp; sources'!$B$4</x:f>
        <x:v>0.55</x:v>
      </x:c>
      <x:c r="S6" s="56" t="n">
        <x:f>MAX(0,'Hypothèses &amp; sources'!$B$5*MAX(0,MIN(100,'Hypothèses &amp; sources'!$B$10-R6*'Hypothèses &amp; sources'!$B$9))+'Hypothèses &amp; sources'!$B$6*(G6/5*100)+'Hypothèses &amp; sources'!$B$7*(H6/5*100)+'Hypothèses &amp; sources'!$B$8*MAX(0,MIN(100,'Hypothèses &amp; sources'!$B$12-E6*'Hypothèses &amp; sources'!$B$11))-T6)</x:f>
        <x:v>77.56</x:v>
      </x:c>
      <x:c r="T6" s="33" t="n">
        <x:v>8</x:v>
      </x:c>
    </x:row>
    <x:row r="7">
      <x:c r="A7" s="33" t="n">
        <x:v>3</x:v>
      </x:c>
      <x:c r="B7" s="38" t="str">
        <x:v>Salade de betterave koshimbir/betteraves</x:v>
      </x:c>
      <x:c r="C7" s="38" t="str">
        <x:v>Salade / accompagnement</x:v>
      </x:c>
      <x:c r="D7" s="38" t="str">
        <x:v>betteraves</x:v>
      </x:c>
      <x:c r="E7" s="33" t="n">
        <x:v>15</x:v>
      </x:c>
      <x:c r="F7" s="33" t="n">
        <x:v>15</x:v>
      </x:c>
      <x:c r="G7" s="56" t="n">
        <x:v>3.2</x:v>
      </x:c>
      <x:c r="H7" s="56" t="n">
        <x:v>3.5</x:v>
      </x:c>
      <x:c r="I7" s="33" t="n">
        <x:v>0</x:v>
      </x:c>
      <x:c r="J7" s="57" t="n">
        <x:v>2.5</x:v>
      </x:c>
      <x:c r="K7" s="57" t="n">
        <x:f>J7*'Hypothèses &amp; sources'!$E$4</x:f>
        <x:v>2.5</x:v>
      </x:c>
      <x:c r="L7" s="57" t="n">
        <x:f>J7*'Hypothèses &amp; sources'!$F$4</x:f>
        <x:v>2.6500000000000004</x:v>
      </x:c>
      <x:c r="M7" s="57" t="n">
        <x:f>J7*'Hypothèses &amp; sources'!$G$4</x:f>
        <x:v>2.75</x:v>
      </x:c>
      <x:c r="N7" s="57" t="n">
        <x:f>J7*'Hypothèses &amp; sources'!$H$4</x:f>
        <x:v>2.7750000000000004</x:v>
      </x:c>
      <x:c r="O7" s="57" t="n">
        <x:f>J7*'Hypothèses &amp; sources'!$I$4</x:f>
        <x:v>3.1</x:v>
      </x:c>
      <x:c r="P7" s="57" t="str">
        <x:v>Lidl</x:v>
      </x:c>
      <x:c r="Q7" s="57" t="n">
        <x:f>IF(P7="Lidl",K7,IF(P7="Super U",L7,IF(P7="Carrefour",M7,IF(P7="Auchan",N7,O7))))</x:f>
        <x:v>2.5</x:v>
      </x:c>
      <x:c r="R7" s="57" t="n">
        <x:f>Q7/'Hypothèses &amp; sources'!$B$4</x:f>
        <x:v>0.625</x:v>
      </x:c>
      <x:c r="S7" s="56" t="n">
        <x:f>MAX(0,'Hypothèses &amp; sources'!$B$5*MAX(0,MIN(100,'Hypothèses &amp; sources'!$B$10-R7*'Hypothèses &amp; sources'!$B$9))+'Hypothèses &amp; sources'!$B$6*(G7/5*100)+'Hypothèses &amp; sources'!$B$7*(H7/5*100)+'Hypothèses &amp; sources'!$B$8*MAX(0,MIN(100,'Hypothèses &amp; sources'!$B$12-E7*'Hypothèses &amp; sources'!$B$11))-T7)</x:f>
        <x:v>73.75999999999999</x:v>
      </x:c>
      <x:c r="T7" s="33" t="n">
        <x:v>8</x:v>
      </x:c>
    </x:row>
    <x:row r="8">
      <x:c r="A8" s="33" t="n">
        <x:v>4</x:v>
      </x:c>
      <x:c r="B8" s="38" t="str">
        <x:v>Quinoa</x:v>
      </x:c>
      <x:c r="C8" s="38" t="str">
        <x:v>Accompagnement</x:v>
      </x:c>
      <x:c r="D8" s="38" t="str">
        <x:v>quinoa, eau ou bouillon</x:v>
      </x:c>
      <x:c r="E8" s="33" t="n">
        <x:v>5</x:v>
      </x:c>
      <x:c r="F8" s="33" t="n">
        <x:v>20</x:v>
      </x:c>
      <x:c r="G8" s="56" t="n">
        <x:v>3.5</x:v>
      </x:c>
      <x:c r="H8" s="56" t="n">
        <x:v>4</x:v>
      </x:c>
      <x:c r="I8" s="33" t="n">
        <x:v>0</x:v>
      </x:c>
      <x:c r="J8" s="57" t="n">
        <x:v>2.6</x:v>
      </x:c>
      <x:c r="K8" s="57" t="n">
        <x:f>J8*'Hypothèses &amp; sources'!$E$4</x:f>
        <x:v>2.6</x:v>
      </x:c>
      <x:c r="L8" s="57" t="n">
        <x:f>J8*'Hypothèses &amp; sources'!$F$4</x:f>
        <x:v>2.7560000000000002</x:v>
      </x:c>
      <x:c r="M8" s="57" t="n">
        <x:f>J8*'Hypothèses &amp; sources'!$G$4</x:f>
        <x:v>2.8600000000000003</x:v>
      </x:c>
      <x:c r="N8" s="57" t="n">
        <x:f>J8*'Hypothèses &amp; sources'!$H$4</x:f>
        <x:v>2.8860000000000006</x:v>
      </x:c>
      <x:c r="O8" s="57" t="n">
        <x:f>J8*'Hypothèses &amp; sources'!$I$4</x:f>
        <x:v>3.224</x:v>
      </x:c>
      <x:c r="P8" s="57" t="str">
        <x:v>Lidl</x:v>
      </x:c>
      <x:c r="Q8" s="57" t="n">
        <x:f>IF(P8="Lidl",K8,IF(P8="Super U",L8,IF(P8="Carrefour",M8,IF(P8="Auchan",N8,O8))))</x:f>
        <x:v>2.6</x:v>
      </x:c>
      <x:c r="R8" s="57" t="n">
        <x:f>Q8/'Hypothèses &amp; sources'!$B$4</x:f>
        <x:v>0.65</x:v>
      </x:c>
      <x:c r="S8" s="56" t="n">
        <x:f>MAX(0,'Hypothèses &amp; sources'!$B$5*MAX(0,MIN(100,'Hypothèses &amp; sources'!$B$10-R8*'Hypothèses &amp; sources'!$B$9))+'Hypothèses &amp; sources'!$B$6*(G8/5*100)+'Hypothèses &amp; sources'!$B$7*(H8/5*100)+'Hypothèses &amp; sources'!$B$8*MAX(0,MIN(100,'Hypothèses &amp; sources'!$B$12-E8*'Hypothèses &amp; sources'!$B$11))-T8)</x:f>
        <x:v>79.88</x:v>
      </x:c>
      <x:c r="T8" s="33" t="n">
        <x:v>8</x:v>
      </x:c>
    </x:row>
    <x:row r="9">
      <x:c r="A9" s="33" t="n">
        <x:v>5</x:v>
      </x:c>
      <x:c r="B9" s="38" t="str">
        <x:v>Mujadara/lentils and rice</x:v>
      </x:c>
      <x:c r="C9" s="38" t="str">
        <x:v>Plat complet</x:v>
      </x:c>
      <x:c r="D9" s="38" t="str">
        <x:v>riz, légumineuses</x:v>
      </x:c>
      <x:c r="E9" s="33" t="n">
        <x:v>20</x:v>
      </x:c>
      <x:c r="F9" s="33" t="n">
        <x:v>40</x:v>
      </x:c>
      <x:c r="G9" s="56" t="n">
        <x:v>4.4</x:v>
      </x:c>
      <x:c r="H9" s="56" t="n">
        <x:v>3.6</x:v>
      </x:c>
      <x:c r="I9" s="33" t="n">
        <x:v>0</x:v>
      </x:c>
      <x:c r="J9" s="57" t="n">
        <x:v>3.2</x:v>
      </x:c>
      <x:c r="K9" s="57" t="n">
        <x:f>J9*'Hypothèses &amp; sources'!$E$4</x:f>
        <x:v>3.2</x:v>
      </x:c>
      <x:c r="L9" s="57" t="n">
        <x:f>J9*'Hypothèses &amp; sources'!$F$4</x:f>
        <x:v>3.3920000000000003</x:v>
      </x:c>
      <x:c r="M9" s="57" t="n">
        <x:f>J9*'Hypothèses &amp; sources'!$G$4</x:f>
        <x:v>3.5200000000000005</x:v>
      </x:c>
      <x:c r="N9" s="57" t="n">
        <x:f>J9*'Hypothèses &amp; sources'!$H$4</x:f>
        <x:v>3.5520000000000005</x:v>
      </x:c>
      <x:c r="O9" s="57" t="n">
        <x:f>J9*'Hypothèses &amp; sources'!$I$4</x:f>
        <x:v>3.968</x:v>
      </x:c>
      <x:c r="P9" s="57" t="str">
        <x:v>Lidl</x:v>
      </x:c>
      <x:c r="Q9" s="57" t="n">
        <x:f>IF(P9="Lidl",K9,IF(P9="Super U",L9,IF(P9="Carrefour",M9,IF(P9="Auchan",N9,O9))))</x:f>
        <x:v>3.2</x:v>
      </x:c>
      <x:c r="R9" s="57" t="n">
        <x:f>Q9/'Hypothèses &amp; sources'!$B$4</x:f>
        <x:v>0.8</x:v>
      </x:c>
      <x:c r="S9" s="56" t="n">
        <x:f>MAX(0,'Hypothèses &amp; sources'!$B$5*MAX(0,MIN(100,'Hypothèses &amp; sources'!$B$10-R9*'Hypothèses &amp; sources'!$B$9))+'Hypothèses &amp; sources'!$B$6*(G9/5*100)+'Hypothèses &amp; sources'!$B$7*(H9/5*100)+'Hypothèses &amp; sources'!$B$8*MAX(0,MIN(100,'Hypothèses &amp; sources'!$B$12-E9*'Hypothèses &amp; sources'!$B$11))-T9)</x:f>
        <x:v>87.52000000000001</x:v>
      </x:c>
      <x:c r="T9" s="33" t="n">
        <x:v>0</x:v>
      </x:c>
    </x:row>
    <x:row r="10">
      <x:c r="A10" s="33" t="n">
        <x:v>6</x:v>
      </x:c>
      <x:c r="B10" s="38" t="str">
        <x:v>Riz et haricots</x:v>
      </x:c>
      <x:c r="C10" s="38" t="str">
        <x:v>Plat complet</x:v>
      </x:c>
      <x:c r="D10" s="38" t="str">
        <x:v>riz, légumineuses</x:v>
      </x:c>
      <x:c r="E10" s="33" t="n">
        <x:v>20</x:v>
      </x:c>
      <x:c r="F10" s="33" t="n">
        <x:v>40</x:v>
      </x:c>
      <x:c r="G10" s="56" t="n">
        <x:v>4.4</x:v>
      </x:c>
      <x:c r="H10" s="56" t="n">
        <x:v>3.6</x:v>
      </x:c>
      <x:c r="I10" s="33" t="n">
        <x:v>0</x:v>
      </x:c>
      <x:c r="J10" s="57" t="n">
        <x:v>3.2</x:v>
      </x:c>
      <x:c r="K10" s="57" t="n">
        <x:f>J10*'Hypothèses &amp; sources'!$E$4</x:f>
        <x:v>3.2</x:v>
      </x:c>
      <x:c r="L10" s="57" t="n">
        <x:f>J10*'Hypothèses &amp; sources'!$F$4</x:f>
        <x:v>3.3920000000000003</x:v>
      </x:c>
      <x:c r="M10" s="57" t="n">
        <x:f>J10*'Hypothèses &amp; sources'!$G$4</x:f>
        <x:v>3.5200000000000005</x:v>
      </x:c>
      <x:c r="N10" s="57" t="n">
        <x:f>J10*'Hypothèses &amp; sources'!$H$4</x:f>
        <x:v>3.5520000000000005</x:v>
      </x:c>
      <x:c r="O10" s="57" t="n">
        <x:f>J10*'Hypothèses &amp; sources'!$I$4</x:f>
        <x:v>3.968</x:v>
      </x:c>
      <x:c r="P10" s="57" t="str">
        <x:v>Lidl</x:v>
      </x:c>
      <x:c r="Q10" s="57" t="n">
        <x:f>IF(P10="Lidl",K10,IF(P10="Super U",L10,IF(P10="Carrefour",M10,IF(P10="Auchan",N10,O10))))</x:f>
        <x:v>3.2</x:v>
      </x:c>
      <x:c r="R10" s="57" t="n">
        <x:f>Q10/'Hypothèses &amp; sources'!$B$4</x:f>
        <x:v>0.8</x:v>
      </x:c>
      <x:c r="S10" s="56" t="n">
        <x:f>MAX(0,'Hypothèses &amp; sources'!$B$5*MAX(0,MIN(100,'Hypothèses &amp; sources'!$B$10-R10*'Hypothèses &amp; sources'!$B$9))+'Hypothèses &amp; sources'!$B$6*(G10/5*100)+'Hypothèses &amp; sources'!$B$7*(H10/5*100)+'Hypothèses &amp; sources'!$B$8*MAX(0,MIN(100,'Hypothèses &amp; sources'!$B$12-E10*'Hypothèses &amp; sources'!$B$11))-T10)</x:f>
        <x:v>87.52000000000001</x:v>
      </x:c>
      <x:c r="T10" s="33" t="n">
        <x:v>0</x:v>
      </x:c>
    </x:row>
    <x:row r="11">
      <x:c r="A11" s="33" t="n">
        <x:v>7</x:v>
      </x:c>
      <x:c r="B11" s="38" t="str">
        <x:v>Mixed lentils with ginger and chile</x:v>
      </x:c>
      <x:c r="C11" s="38" t="str">
        <x:v>Plat complet</x:v>
      </x:c>
      <x:c r="D11" s="38" t="str">
        <x:v>gingembre, piment / chili, légumineuses</x:v>
      </x:c>
      <x:c r="E11" s="33" t="n">
        <x:v>20</x:v>
      </x:c>
      <x:c r="F11" s="33" t="n">
        <x:v>40</x:v>
      </x:c>
      <x:c r="G11" s="56" t="n">
        <x:v>4</x:v>
      </x:c>
      <x:c r="H11" s="56" t="n">
        <x:v>3.6</x:v>
      </x:c>
      <x:c r="I11" s="33" t="n">
        <x:v>0</x:v>
      </x:c>
      <x:c r="J11" s="57" t="n">
        <x:v>3.2</x:v>
      </x:c>
      <x:c r="K11" s="57" t="n">
        <x:f>J11*'Hypothèses &amp; sources'!$E$4</x:f>
        <x:v>3.2</x:v>
      </x:c>
      <x:c r="L11" s="57" t="n">
        <x:f>J11*'Hypothèses &amp; sources'!$F$4</x:f>
        <x:v>3.3920000000000003</x:v>
      </x:c>
      <x:c r="M11" s="57" t="n">
        <x:f>J11*'Hypothèses &amp; sources'!$G$4</x:f>
        <x:v>3.5200000000000005</x:v>
      </x:c>
      <x:c r="N11" s="57" t="n">
        <x:f>J11*'Hypothèses &amp; sources'!$H$4</x:f>
        <x:v>3.5520000000000005</x:v>
      </x:c>
      <x:c r="O11" s="57" t="n">
        <x:f>J11*'Hypothèses &amp; sources'!$I$4</x:f>
        <x:v>3.968</x:v>
      </x:c>
      <x:c r="P11" s="57" t="str">
        <x:v>Lidl</x:v>
      </x:c>
      <x:c r="Q11" s="57" t="n">
        <x:f>IF(P11="Lidl",K11,IF(P11="Super U",L11,IF(P11="Carrefour",M11,IF(P11="Auchan",N11,O11))))</x:f>
        <x:v>3.2</x:v>
      </x:c>
      <x:c r="R11" s="57" t="n">
        <x:f>Q11/'Hypothèses &amp; sources'!$B$4</x:f>
        <x:v>0.8</x:v>
      </x:c>
      <x:c r="S11" s="56" t="n">
        <x:f>MAX(0,'Hypothèses &amp; sources'!$B$5*MAX(0,MIN(100,'Hypothèses &amp; sources'!$B$10-R11*'Hypothèses &amp; sources'!$B$9))+'Hypothèses &amp; sources'!$B$6*(G11/5*100)+'Hypothèses &amp; sources'!$B$7*(H11/5*100)+'Hypothèses &amp; sources'!$B$8*MAX(0,MIN(100,'Hypothèses &amp; sources'!$B$12-E11*'Hypothèses &amp; sources'!$B$11))-T11)</x:f>
        <x:v>85.28</x:v>
      </x:c>
      <x:c r="T11" s="33" t="n">
        <x:v>0</x:v>
      </x:c>
    </x:row>
    <x:row r="12">
      <x:c r="A12" s="33" t="n">
        <x:v>8</x:v>
      </x:c>
      <x:c r="B12" s="38" t="str">
        <x:v>Garlic potatoes</x:v>
      </x:c>
      <x:c r="C12" s="38" t="str">
        <x:v>Plat complet</x:v>
      </x:c>
      <x:c r="D12" s="38" t="str">
        <x:v>ail, pommes de terre</x:v>
      </x:c>
      <x:c r="E12" s="33" t="n">
        <x:v>20</x:v>
      </x:c>
      <x:c r="F12" s="33" t="n">
        <x:v>40</x:v>
      </x:c>
      <x:c r="G12" s="56" t="n">
        <x:v>3.7</x:v>
      </x:c>
      <x:c r="H12" s="56" t="n">
        <x:v>3.1</x:v>
      </x:c>
      <x:c r="I12" s="33" t="n">
        <x:v>0</x:v>
      </x:c>
      <x:c r="J12" s="57" t="n">
        <x:v>3.2</x:v>
      </x:c>
      <x:c r="K12" s="57" t="n">
        <x:f>J12*'Hypothèses &amp; sources'!$E$4</x:f>
        <x:v>3.2</x:v>
      </x:c>
      <x:c r="L12" s="57" t="n">
        <x:f>J12*'Hypothèses &amp; sources'!$F$4</x:f>
        <x:v>3.3920000000000003</x:v>
      </x:c>
      <x:c r="M12" s="57" t="n">
        <x:f>J12*'Hypothèses &amp; sources'!$G$4</x:f>
        <x:v>3.5200000000000005</x:v>
      </x:c>
      <x:c r="N12" s="57" t="n">
        <x:f>J12*'Hypothèses &amp; sources'!$H$4</x:f>
        <x:v>3.5520000000000005</x:v>
      </x:c>
      <x:c r="O12" s="57" t="n">
        <x:f>J12*'Hypothèses &amp; sources'!$I$4</x:f>
        <x:v>3.968</x:v>
      </x:c>
      <x:c r="P12" s="57" t="str">
        <x:v>Lidl</x:v>
      </x:c>
      <x:c r="Q12" s="57" t="n">
        <x:f>IF(P12="Lidl",K12,IF(P12="Super U",L12,IF(P12="Carrefour",M12,IF(P12="Auchan",N12,O12))))</x:f>
        <x:v>3.2</x:v>
      </x:c>
      <x:c r="R12" s="57" t="n">
        <x:f>Q12/'Hypothèses &amp; sources'!$B$4</x:f>
        <x:v>0.8</x:v>
      </x:c>
      <x:c r="S12" s="56" t="n">
        <x:f>MAX(0,'Hypothèses &amp; sources'!$B$5*MAX(0,MIN(100,'Hypothèses &amp; sources'!$B$10-R12*'Hypothèses &amp; sources'!$B$9))+'Hypothèses &amp; sources'!$B$6*(G12/5*100)+'Hypothèses &amp; sources'!$B$7*(H12/5*100)+'Hypothèses &amp; sources'!$B$8*MAX(0,MIN(100,'Hypothèses &amp; sources'!$B$12-E12*'Hypothèses &amp; sources'!$B$11))-T12)</x:f>
        <x:v>81.8</x:v>
      </x:c>
      <x:c r="T12" s="33" t="n">
        <x:v>0</x:v>
      </x:c>
    </x:row>
    <x:row r="13">
      <x:c r="A13" s="33" t="n">
        <x:v>9</x:v>
      </x:c>
      <x:c r="B13" s="38" t="str">
        <x:v>Chou au beurre</x:v>
      </x:c>
      <x:c r="C13" s="38" t="str">
        <x:v>Accompagnement</x:v>
      </x:c>
      <x:c r="D13" s="38" t="str">
        <x:v>chou, beurre, sel, poivre</x:v>
      </x:c>
      <x:c r="E13" s="33" t="n">
        <x:v>10</x:v>
      </x:c>
      <x:c r="F13" s="33" t="n">
        <x:v>25</x:v>
      </x:c>
      <x:c r="G13" s="56" t="n">
        <x:v>3</x:v>
      </x:c>
      <x:c r="H13" s="56" t="n">
        <x:v>3.2</x:v>
      </x:c>
      <x:c r="I13" s="33" t="n">
        <x:v>0</x:v>
      </x:c>
      <x:c r="J13" s="57" t="n">
        <x:v>3.2</x:v>
      </x:c>
      <x:c r="K13" s="57" t="n">
        <x:f>J13*'Hypothèses &amp; sources'!$E$4</x:f>
        <x:v>3.2</x:v>
      </x:c>
      <x:c r="L13" s="57" t="n">
        <x:f>J13*'Hypothèses &amp; sources'!$F$4</x:f>
        <x:v>3.3920000000000003</x:v>
      </x:c>
      <x:c r="M13" s="57" t="n">
        <x:f>J13*'Hypothèses &amp; sources'!$G$4</x:f>
        <x:v>3.5200000000000005</x:v>
      </x:c>
      <x:c r="N13" s="57" t="n">
        <x:f>J13*'Hypothèses &amp; sources'!$H$4</x:f>
        <x:v>3.5520000000000005</x:v>
      </x:c>
      <x:c r="O13" s="57" t="n">
        <x:f>J13*'Hypothèses &amp; sources'!$I$4</x:f>
        <x:v>3.968</x:v>
      </x:c>
      <x:c r="P13" s="57" t="str">
        <x:v>Lidl</x:v>
      </x:c>
      <x:c r="Q13" s="57" t="n">
        <x:f>IF(P13="Lidl",K13,IF(P13="Super U",L13,IF(P13="Carrefour",M13,IF(P13="Auchan",N13,O13))))</x:f>
        <x:v>3.2</x:v>
      </x:c>
      <x:c r="R13" s="57" t="n">
        <x:f>Q13/'Hypothèses &amp; sources'!$B$4</x:f>
        <x:v>0.8</x:v>
      </x:c>
      <x:c r="S13" s="56" t="n">
        <x:f>MAX(0,'Hypothèses &amp; sources'!$B$5*MAX(0,MIN(100,'Hypothèses &amp; sources'!$B$10-R13*'Hypothèses &amp; sources'!$B$9))+'Hypothèses &amp; sources'!$B$6*(G13/5*100)+'Hypothèses &amp; sources'!$B$7*(H13/5*100)+'Hypothèses &amp; sources'!$B$8*MAX(0,MIN(100,'Hypothèses &amp; sources'!$B$12-E13*'Hypothèses &amp; sources'!$B$11))-T13)</x:f>
        <x:v>72.88</x:v>
      </x:c>
      <x:c r="T13" s="33" t="n">
        <x:v>8</x:v>
      </x:c>
    </x:row>
    <x:row r="14">
      <x:c r="A14" s="33" t="n">
        <x:v>10</x:v>
      </x:c>
      <x:c r="B14" s="38" t="str">
        <x:v>Oeufs cuits à la vapeur à l'asiatique</x:v>
      </x:c>
      <x:c r="C14" s="38" t="str">
        <x:v>Plat complet</x:v>
      </x:c>
      <x:c r="D14" s="38" t="str">
        <x:v>œufs</x:v>
      </x:c>
      <x:c r="E14" s="33" t="n">
        <x:v>15</x:v>
      </x:c>
      <x:c r="F14" s="33" t="n">
        <x:v>35</x:v>
      </x:c>
      <x:c r="G14" s="56" t="n">
        <x:v>3.6</x:v>
      </x:c>
      <x:c r="H14" s="56" t="n">
        <x:v>3.1</x:v>
      </x:c>
      <x:c r="I14" s="33" t="n">
        <x:v>0</x:v>
      </x:c>
      <x:c r="J14" s="57" t="n">
        <x:v>3.3</x:v>
      </x:c>
      <x:c r="K14" s="57" t="n">
        <x:f>J14*'Hypothèses &amp; sources'!$E$4</x:f>
        <x:v>3.3</x:v>
      </x:c>
      <x:c r="L14" s="57" t="n">
        <x:f>J14*'Hypothèses &amp; sources'!$F$4</x:f>
        <x:v>3.4979999999999998</x:v>
      </x:c>
      <x:c r="M14" s="57" t="n">
        <x:f>J14*'Hypothèses &amp; sources'!$G$4</x:f>
        <x:v>3.63</x:v>
      </x:c>
      <x:c r="N14" s="57" t="n">
        <x:f>J14*'Hypothèses &amp; sources'!$H$4</x:f>
        <x:v>3.6630000000000003</x:v>
      </x:c>
      <x:c r="O14" s="57" t="n">
        <x:f>J14*'Hypothèses &amp; sources'!$I$4</x:f>
        <x:v>4.092</x:v>
      </x:c>
      <x:c r="P14" s="57" t="str">
        <x:v>Lidl</x:v>
      </x:c>
      <x:c r="Q14" s="57" t="n">
        <x:f>IF(P14="Lidl",K14,IF(P14="Super U",L14,IF(P14="Carrefour",M14,IF(P14="Auchan",N14,O14))))</x:f>
        <x:v>3.3</x:v>
      </x:c>
      <x:c r="R14" s="57" t="n">
        <x:f>Q14/'Hypothèses &amp; sources'!$B$4</x:f>
        <x:v>0.825</x:v>
      </x:c>
      <x:c r="S14" s="56" t="n">
        <x:f>MAX(0,'Hypothèses &amp; sources'!$B$5*MAX(0,MIN(100,'Hypothèses &amp; sources'!$B$10-R14*'Hypothèses &amp; sources'!$B$9))+'Hypothèses &amp; sources'!$B$6*(G14/5*100)+'Hypothèses &amp; sources'!$B$7*(H14/5*100)+'Hypothèses &amp; sources'!$B$8*MAX(0,MIN(100,'Hypothèses &amp; sources'!$B$12-E14*'Hypothèses &amp; sources'!$B$11))-T14)</x:f>
        <x:v>82.56</x:v>
      </x:c>
      <x:c r="T14" s="33" t="n">
        <x:v>0</x:v>
      </x:c>
    </x:row>
    <x:row r="15">
      <x:c r="A15" s="33" t="n">
        <x:v>11</x:v>
      </x:c>
      <x:c r="B15" s="38" t="str">
        <x:v>Soupe aux œufs</x:v>
      </x:c>
      <x:c r="C15" s="38" t="str">
        <x:v>Plat complet</x:v>
      </x:c>
      <x:c r="D15" s="38" t="str">
        <x:v>œufs</x:v>
      </x:c>
      <x:c r="E15" s="33" t="n">
        <x:v>20</x:v>
      </x:c>
      <x:c r="F15" s="33" t="n">
        <x:v>40</x:v>
      </x:c>
      <x:c r="G15" s="56" t="n">
        <x:v>3.6</x:v>
      </x:c>
      <x:c r="H15" s="56" t="n">
        <x:v>3.1</x:v>
      </x:c>
      <x:c r="I15" s="33" t="n">
        <x:v>0</x:v>
      </x:c>
      <x:c r="J15" s="57" t="n">
        <x:v>3.3</x:v>
      </x:c>
      <x:c r="K15" s="57" t="n">
        <x:f>J15*'Hypothèses &amp; sources'!$E$4</x:f>
        <x:v>3.3</x:v>
      </x:c>
      <x:c r="L15" s="57" t="n">
        <x:f>J15*'Hypothèses &amp; sources'!$F$4</x:f>
        <x:v>3.4979999999999998</x:v>
      </x:c>
      <x:c r="M15" s="57" t="n">
        <x:f>J15*'Hypothèses &amp; sources'!$G$4</x:f>
        <x:v>3.63</x:v>
      </x:c>
      <x:c r="N15" s="57" t="n">
        <x:f>J15*'Hypothèses &amp; sources'!$H$4</x:f>
        <x:v>3.6630000000000003</x:v>
      </x:c>
      <x:c r="O15" s="57" t="n">
        <x:f>J15*'Hypothèses &amp; sources'!$I$4</x:f>
        <x:v>4.092</x:v>
      </x:c>
      <x:c r="P15" s="57" t="str">
        <x:v>Lidl</x:v>
      </x:c>
      <x:c r="Q15" s="57" t="n">
        <x:f>IF(P15="Lidl",K15,IF(P15="Super U",L15,IF(P15="Carrefour",M15,IF(P15="Auchan",N15,O15))))</x:f>
        <x:v>3.3</x:v>
      </x:c>
      <x:c r="R15" s="57" t="n">
        <x:f>Q15/'Hypothèses &amp; sources'!$B$4</x:f>
        <x:v>0.825</x:v>
      </x:c>
      <x:c r="S15" s="56" t="n">
        <x:f>MAX(0,'Hypothèses &amp; sources'!$B$5*MAX(0,MIN(100,'Hypothèses &amp; sources'!$B$10-R15*'Hypothèses &amp; sources'!$B$9))+'Hypothèses &amp; sources'!$B$6*(G15/5*100)+'Hypothèses &amp; sources'!$B$7*(H15/5*100)+'Hypothèses &amp; sources'!$B$8*MAX(0,MIN(100,'Hypothèses &amp; sources'!$B$12-E15*'Hypothèses &amp; sources'!$B$11))-T15)</x:f>
        <x:v>81.24000000000001</x:v>
      </x:c>
      <x:c r="T15" s="33" t="n">
        <x:v>0</x:v>
      </x:c>
    </x:row>
    <x:row r="16">
      <x:c r="A16" s="33" t="n">
        <x:v>12</x:v>
      </x:c>
      <x:c r="B16" s="38" t="str">
        <x:v>The perfect hard-boiled eggs</x:v>
      </x:c>
      <x:c r="C16" s="38" t="str">
        <x:v>Œufs / base</x:v>
      </x:c>
      <x:c r="D16" s="38" t="str">
        <x:v>œufs, eau</x:v>
      </x:c>
      <x:c r="E16" s="33" t="n">
        <x:v>5</x:v>
      </x:c>
      <x:c r="F16" s="33" t="n">
        <x:v>15</x:v>
      </x:c>
      <x:c r="G16" s="56" t="n">
        <x:v>3.5</x:v>
      </x:c>
      <x:c r="H16" s="56" t="n">
        <x:v>3.5</x:v>
      </x:c>
      <x:c r="I16" s="33" t="n">
        <x:v>0</x:v>
      </x:c>
      <x:c r="J16" s="57" t="n">
        <x:v>3.3</x:v>
      </x:c>
      <x:c r="K16" s="57" t="n">
        <x:f>J16*'Hypothèses &amp; sources'!$E$4</x:f>
        <x:v>3.3</x:v>
      </x:c>
      <x:c r="L16" s="57" t="n">
        <x:f>J16*'Hypothèses &amp; sources'!$F$4</x:f>
        <x:v>3.4979999999999998</x:v>
      </x:c>
      <x:c r="M16" s="57" t="n">
        <x:f>J16*'Hypothèses &amp; sources'!$G$4</x:f>
        <x:v>3.63</x:v>
      </x:c>
      <x:c r="N16" s="57" t="n">
        <x:f>J16*'Hypothèses &amp; sources'!$H$4</x:f>
        <x:v>3.6630000000000003</x:v>
      </x:c>
      <x:c r="O16" s="57" t="n">
        <x:f>J16*'Hypothèses &amp; sources'!$I$4</x:f>
        <x:v>4.092</x:v>
      </x:c>
      <x:c r="P16" s="57" t="str">
        <x:v>Lidl</x:v>
      </x:c>
      <x:c r="Q16" s="57" t="n">
        <x:f>IF(P16="Lidl",K16,IF(P16="Super U",L16,IF(P16="Carrefour",M16,IF(P16="Auchan",N16,O16))))</x:f>
        <x:v>3.3</x:v>
      </x:c>
      <x:c r="R16" s="57" t="n">
        <x:f>Q16/'Hypothèses &amp; sources'!$B$4</x:f>
        <x:v>0.825</x:v>
      </x:c>
      <x:c r="S16" s="56" t="n">
        <x:f>MAX(0,'Hypothèses &amp; sources'!$B$5*MAX(0,MIN(100,'Hypothèses &amp; sources'!$B$10-R16*'Hypothèses &amp; sources'!$B$9))+'Hypothèses &amp; sources'!$B$6*(G16/5*100)+'Hypothèses &amp; sources'!$B$7*(H16/5*100)+'Hypothèses &amp; sources'!$B$8*MAX(0,MIN(100,'Hypothèses &amp; sources'!$B$12-E16*'Hypothèses &amp; sources'!$B$11))-T16)</x:f>
        <x:v>78.08</x:v>
      </x:c>
      <x:c r="T16" s="33" t="n">
        <x:v>8</x:v>
      </x:c>
    </x:row>
    <x:row r="17">
      <x:c r="A17" s="33" t="n">
        <x:v>13</x:v>
      </x:c>
      <x:c r="B17" s="38" t="str">
        <x:v>Soupe aux haricots noirs et aux jeunes pousses</x:v>
      </x:c>
      <x:c r="C17" s="38" t="str">
        <x:v>Soupe / bouillon</x:v>
      </x:c>
      <x:c r="D17" s="38" t="str">
        <x:v>bouillon, oignon, légumineuses</x:v>
      </x:c>
      <x:c r="E17" s="33" t="n">
        <x:v>15</x:v>
      </x:c>
      <x:c r="F17" s="33" t="n">
        <x:v>35</x:v>
      </x:c>
      <x:c r="G17" s="56" t="n">
        <x:v>4</x:v>
      </x:c>
      <x:c r="H17" s="56" t="n">
        <x:v>3.8</x:v>
      </x:c>
      <x:c r="I17" s="33" t="n">
        <x:v>0</x:v>
      </x:c>
      <x:c r="J17" s="57" t="n">
        <x:v>3.4</x:v>
      </x:c>
      <x:c r="K17" s="57" t="n">
        <x:f>J17*'Hypothèses &amp; sources'!$E$4</x:f>
        <x:v>3.4</x:v>
      </x:c>
      <x:c r="L17" s="57" t="n">
        <x:f>J17*'Hypothèses &amp; sources'!$F$4</x:f>
        <x:v>3.604</x:v>
      </x:c>
      <x:c r="M17" s="57" t="n">
        <x:f>J17*'Hypothèses &amp; sources'!$G$4</x:f>
        <x:v>3.74</x:v>
      </x:c>
      <x:c r="N17" s="57" t="n">
        <x:f>J17*'Hypothèses &amp; sources'!$H$4</x:f>
        <x:v>3.774</x:v>
      </x:c>
      <x:c r="O17" s="57" t="n">
        <x:f>J17*'Hypothèses &amp; sources'!$I$4</x:f>
        <x:v>4.216</x:v>
      </x:c>
      <x:c r="P17" s="57" t="str">
        <x:v>Lidl</x:v>
      </x:c>
      <x:c r="Q17" s="57" t="n">
        <x:f>IF(P17="Lidl",K17,IF(P17="Super U",L17,IF(P17="Carrefour",M17,IF(P17="Auchan",N17,O17))))</x:f>
        <x:v>3.4</x:v>
      </x:c>
      <x:c r="R17" s="57" t="n">
        <x:f>Q17/'Hypothèses &amp; sources'!$B$4</x:f>
        <x:v>0.85</x:v>
      </x:c>
      <x:c r="S17" s="56" t="n">
        <x:f>MAX(0,'Hypothèses &amp; sources'!$B$5*MAX(0,MIN(100,'Hypothèses &amp; sources'!$B$10-R17*'Hypothèses &amp; sources'!$B$9))+'Hypothèses &amp; sources'!$B$6*(G17/5*100)+'Hypothèses &amp; sources'!$B$7*(H17/5*100)+'Hypothèses &amp; sources'!$B$8*MAX(0,MIN(100,'Hypothèses &amp; sources'!$B$12-E17*'Hypothèses &amp; sources'!$B$11))-T17)</x:f>
        <x:v>87.236</x:v>
      </x:c>
      <x:c r="T17" s="33" t="n">
        <x:v>0</x:v>
      </x:c>
    </x:row>
    <x:row r="18">
      <x:c r="A18" s="33" t="n">
        <x:v>14</x:v>
      </x:c>
      <x:c r="B18" s="38" t="str">
        <x:v>Turkish red lentil soup</x:v>
      </x:c>
      <x:c r="C18" s="38" t="str">
        <x:v>Soupe / bouillon</x:v>
      </x:c>
      <x:c r="D18" s="38" t="str">
        <x:v>bouillon, oignon, légumineuses</x:v>
      </x:c>
      <x:c r="E18" s="33" t="n">
        <x:v>15</x:v>
      </x:c>
      <x:c r="F18" s="33" t="n">
        <x:v>35</x:v>
      </x:c>
      <x:c r="G18" s="56" t="n">
        <x:v>4</x:v>
      </x:c>
      <x:c r="H18" s="56" t="n">
        <x:v>3.8</x:v>
      </x:c>
      <x:c r="I18" s="33" t="n">
        <x:v>0</x:v>
      </x:c>
      <x:c r="J18" s="57" t="n">
        <x:v>3.4</x:v>
      </x:c>
      <x:c r="K18" s="57" t="n">
        <x:f>J18*'Hypothèses &amp; sources'!$E$4</x:f>
        <x:v>3.4</x:v>
      </x:c>
      <x:c r="L18" s="57" t="n">
        <x:f>J18*'Hypothèses &amp; sources'!$F$4</x:f>
        <x:v>3.604</x:v>
      </x:c>
      <x:c r="M18" s="57" t="n">
        <x:f>J18*'Hypothèses &amp; sources'!$G$4</x:f>
        <x:v>3.74</x:v>
      </x:c>
      <x:c r="N18" s="57" t="n">
        <x:f>J18*'Hypothèses &amp; sources'!$H$4</x:f>
        <x:v>3.774</x:v>
      </x:c>
      <x:c r="O18" s="57" t="n">
        <x:f>J18*'Hypothèses &amp; sources'!$I$4</x:f>
        <x:v>4.216</x:v>
      </x:c>
      <x:c r="P18" s="57" t="str">
        <x:v>Lidl</x:v>
      </x:c>
      <x:c r="Q18" s="57" t="n">
        <x:f>IF(P18="Lidl",K18,IF(P18="Super U",L18,IF(P18="Carrefour",M18,IF(P18="Auchan",N18,O18))))</x:f>
        <x:v>3.4</x:v>
      </x:c>
      <x:c r="R18" s="57" t="n">
        <x:f>Q18/'Hypothèses &amp; sources'!$B$4</x:f>
        <x:v>0.85</x:v>
      </x:c>
      <x:c r="S18" s="56" t="n">
        <x:f>MAX(0,'Hypothèses &amp; sources'!$B$5*MAX(0,MIN(100,'Hypothèses &amp; sources'!$B$10-R18*'Hypothèses &amp; sources'!$B$9))+'Hypothèses &amp; sources'!$B$6*(G18/5*100)+'Hypothèses &amp; sources'!$B$7*(H18/5*100)+'Hypothèses &amp; sources'!$B$8*MAX(0,MIN(100,'Hypothèses &amp; sources'!$B$12-E18*'Hypothèses &amp; sources'!$B$11))-T18)</x:f>
        <x:v>87.236</x:v>
      </x:c>
      <x:c r="T18" s="33" t="n">
        <x:v>0</x:v>
      </x:c>
    </x:row>
    <x:row r="19">
      <x:c r="A19" s="33" t="n">
        <x:v>15</x:v>
      </x:c>
      <x:c r="B19" s="38" t="str">
        <x:v>Spicy garlic eggplant</x:v>
      </x:c>
      <x:c r="C19" s="38" t="str">
        <x:v>Plat complet</x:v>
      </x:c>
      <x:c r="D19" s="38" t="str">
        <x:v>ail, aubergine</x:v>
      </x:c>
      <x:c r="E19" s="33" t="n">
        <x:v>20</x:v>
      </x:c>
      <x:c r="F19" s="33" t="n">
        <x:v>40</x:v>
      </x:c>
      <x:c r="G19" s="56" t="n">
        <x:v>3.2</x:v>
      </x:c>
      <x:c r="H19" s="56" t="n">
        <x:v>3.4</x:v>
      </x:c>
      <x:c r="I19" s="33" t="n">
        <x:v>0</x:v>
      </x:c>
      <x:c r="J19" s="57" t="n">
        <x:v>3.4</x:v>
      </x:c>
      <x:c r="K19" s="57" t="n">
        <x:f>J19*'Hypothèses &amp; sources'!$E$4</x:f>
        <x:v>3.4</x:v>
      </x:c>
      <x:c r="L19" s="57" t="n">
        <x:f>J19*'Hypothèses &amp; sources'!$F$4</x:f>
        <x:v>3.604</x:v>
      </x:c>
      <x:c r="M19" s="57" t="n">
        <x:f>J19*'Hypothèses &amp; sources'!$G$4</x:f>
        <x:v>3.74</x:v>
      </x:c>
      <x:c r="N19" s="57" t="n">
        <x:f>J19*'Hypothèses &amp; sources'!$H$4</x:f>
        <x:v>3.774</x:v>
      </x:c>
      <x:c r="O19" s="57" t="n">
        <x:f>J19*'Hypothèses &amp; sources'!$I$4</x:f>
        <x:v>4.216</x:v>
      </x:c>
      <x:c r="P19" s="57" t="str">
        <x:v>Lidl</x:v>
      </x:c>
      <x:c r="Q19" s="57" t="n">
        <x:f>IF(P19="Lidl",K19,IF(P19="Super U",L19,IF(P19="Carrefour",M19,IF(P19="Auchan",N19,O19))))</x:f>
        <x:v>3.4</x:v>
      </x:c>
      <x:c r="R19" s="57" t="n">
        <x:f>Q19/'Hypothèses &amp; sources'!$B$4</x:f>
        <x:v>0.85</x:v>
      </x:c>
      <x:c r="S19" s="56" t="n">
        <x:f>MAX(0,'Hypothèses &amp; sources'!$B$5*MAX(0,MIN(100,'Hypothèses &amp; sources'!$B$10-R19*'Hypothèses &amp; sources'!$B$9))+'Hypothèses &amp; sources'!$B$6*(G19/5*100)+'Hypothèses &amp; sources'!$B$7*(H19/5*100)+'Hypothèses &amp; sources'!$B$8*MAX(0,MIN(100,'Hypothèses &amp; sources'!$B$12-E19*'Hypothèses &amp; sources'!$B$11))-T19)</x:f>
        <x:v>79.996</x:v>
      </x:c>
      <x:c r="T19" s="33" t="n">
        <x:v>0</x:v>
      </x:c>
    </x:row>
    <x:row r="20">
      <x:c r="A20" s="33" t="n">
        <x:v>16</x:v>
      </x:c>
      <x:c r="B20" s="38" t="str">
        <x:v>Mexican chili eggs</x:v>
      </x:c>
      <x:c r="C20" s="38" t="str">
        <x:v>Plat complet</x:v>
      </x:c>
      <x:c r="D20" s="38" t="str">
        <x:v>piment / chili, œufs</x:v>
      </x:c>
      <x:c r="E20" s="33" t="n">
        <x:v>20</x:v>
      </x:c>
      <x:c r="F20" s="33" t="n">
        <x:v>40</x:v>
      </x:c>
      <x:c r="G20" s="56" t="n">
        <x:v>3.6</x:v>
      </x:c>
      <x:c r="H20" s="56" t="n">
        <x:v>3.1</x:v>
      </x:c>
      <x:c r="I20" s="33" t="n">
        <x:v>0</x:v>
      </x:c>
      <x:c r="J20" s="57" t="n">
        <x:v>3.8</x:v>
      </x:c>
      <x:c r="K20" s="57" t="n">
        <x:f>J20*'Hypothèses &amp; sources'!$E$4</x:f>
        <x:v>3.8</x:v>
      </x:c>
      <x:c r="L20" s="57" t="n">
        <x:f>J20*'Hypothèses &amp; sources'!$F$4</x:f>
        <x:v>4.028</x:v>
      </x:c>
      <x:c r="M20" s="57" t="n">
        <x:f>J20*'Hypothèses &amp; sources'!$G$4</x:f>
        <x:v>4.18</x:v>
      </x:c>
      <x:c r="N20" s="57" t="n">
        <x:f>J20*'Hypothèses &amp; sources'!$H$4</x:f>
        <x:v>4.218</x:v>
      </x:c>
      <x:c r="O20" s="57" t="n">
        <x:f>J20*'Hypothèses &amp; sources'!$I$4</x:f>
        <x:v>4.712</x:v>
      </x:c>
      <x:c r="P20" s="57" t="str">
        <x:v>Lidl</x:v>
      </x:c>
      <x:c r="Q20" s="57" t="n">
        <x:f>IF(P20="Lidl",K20,IF(P20="Super U",L20,IF(P20="Carrefour",M20,IF(P20="Auchan",N20,O20))))</x:f>
        <x:v>3.8</x:v>
      </x:c>
      <x:c r="R20" s="57" t="n">
        <x:f>Q20/'Hypothèses &amp; sources'!$B$4</x:f>
        <x:v>0.95</x:v>
      </x:c>
      <x:c r="S20" s="56" t="n">
        <x:f>MAX(0,'Hypothèses &amp; sources'!$B$5*MAX(0,MIN(100,'Hypothèses &amp; sources'!$B$10-R20*'Hypothèses &amp; sources'!$B$9))+'Hypothèses &amp; sources'!$B$6*(G20/5*100)+'Hypothèses &amp; sources'!$B$7*(H20/5*100)+'Hypothèses &amp; sources'!$B$8*MAX(0,MIN(100,'Hypothèses &amp; sources'!$B$12-E20*'Hypothèses &amp; sources'!$B$11))-T20)</x:f>
        <x:v>80.652</x:v>
      </x:c>
      <x:c r="T20" s="33" t="n">
        <x:v>0</x:v>
      </x:c>
    </x:row>
    <x:row r="21">
      <x:c r="A21" s="33" t="n">
        <x:v>17</x:v>
      </x:c>
      <x:c r="B21" s="38" t="str">
        <x:v>Purée de pomme de terre</x:v>
      </x:c>
      <x:c r="C21" s="38" t="str">
        <x:v>Accompagnement</x:v>
      </x:c>
      <x:c r="D21" s="38" t="str">
        <x:v>pommes de terre, lait, beurre</x:v>
      </x:c>
      <x:c r="E21" s="33" t="n">
        <x:v>15</x:v>
      </x:c>
      <x:c r="F21" s="33" t="n">
        <x:v>30</x:v>
      </x:c>
      <x:c r="G21" s="56" t="n">
        <x:v>4</x:v>
      </x:c>
      <x:c r="H21" s="56" t="n">
        <x:v>3.2</x:v>
      </x:c>
      <x:c r="I21" s="33" t="n">
        <x:v>0</x:v>
      </x:c>
      <x:c r="J21" s="57" t="n">
        <x:v>3.8</x:v>
      </x:c>
      <x:c r="K21" s="57" t="n">
        <x:f>J21*'Hypothèses &amp; sources'!$E$4</x:f>
        <x:v>3.8</x:v>
      </x:c>
      <x:c r="L21" s="57" t="n">
        <x:f>J21*'Hypothèses &amp; sources'!$F$4</x:f>
        <x:v>4.028</x:v>
      </x:c>
      <x:c r="M21" s="57" t="n">
        <x:f>J21*'Hypothèses &amp; sources'!$G$4</x:f>
        <x:v>4.18</x:v>
      </x:c>
      <x:c r="N21" s="57" t="n">
        <x:f>J21*'Hypothèses &amp; sources'!$H$4</x:f>
        <x:v>4.218</x:v>
      </x:c>
      <x:c r="O21" s="57" t="n">
        <x:f>J21*'Hypothèses &amp; sources'!$I$4</x:f>
        <x:v>4.712</x:v>
      </x:c>
      <x:c r="P21" s="57" t="str">
        <x:v>Lidl</x:v>
      </x:c>
      <x:c r="Q21" s="57" t="n">
        <x:f>IF(P21="Lidl",K21,IF(P21="Super U",L21,IF(P21="Carrefour",M21,IF(P21="Auchan",N21,O21))))</x:f>
        <x:v>3.8</x:v>
      </x:c>
      <x:c r="R21" s="57" t="n">
        <x:f>Q21/'Hypothèses &amp; sources'!$B$4</x:f>
        <x:v>0.95</x:v>
      </x:c>
      <x:c r="S21" s="56" t="n">
        <x:f>MAX(0,'Hypothèses &amp; sources'!$B$5*MAX(0,MIN(100,'Hypothèses &amp; sources'!$B$10-R21*'Hypothèses &amp; sources'!$B$9))+'Hypothèses &amp; sources'!$B$6*(G21/5*100)+'Hypothèses &amp; sources'!$B$7*(H21/5*100)+'Hypothèses &amp; sources'!$B$8*MAX(0,MIN(100,'Hypothèses &amp; sources'!$B$12-E21*'Hypothèses &amp; sources'!$B$11))-T21)</x:f>
        <x:v>76.57199999999999</x:v>
      </x:c>
      <x:c r="T21" s="33" t="n">
        <x:v>8</x:v>
      </x:c>
    </x:row>
    <x:row r="22">
      <x:c r="A22" s="33" t="n">
        <x:v>18</x:v>
      </x:c>
      <x:c r="B22" s="38" t="str">
        <x:v>Soupe à l'ail roti</x:v>
      </x:c>
      <x:c r="C22" s="38" t="str">
        <x:v>Soupe / bouillon</x:v>
      </x:c>
      <x:c r="D22" s="38" t="str">
        <x:v>ail, bouillon, oignon, légumes</x:v>
      </x:c>
      <x:c r="E22" s="33" t="n">
        <x:v>20</x:v>
      </x:c>
      <x:c r="F22" s="33" t="n">
        <x:v>90</x:v>
      </x:c>
      <x:c r="G22" s="56" t="n">
        <x:v>3.2</x:v>
      </x:c>
      <x:c r="H22" s="56" t="n">
        <x:v>3.5</x:v>
      </x:c>
      <x:c r="I22" s="33" t="n">
        <x:v>0</x:v>
      </x:c>
      <x:c r="J22" s="57" t="n">
        <x:v>4</x:v>
      </x:c>
      <x:c r="K22" s="57" t="n">
        <x:f>J22*'Hypothèses &amp; sources'!$E$4</x:f>
        <x:v>4</x:v>
      </x:c>
      <x:c r="L22" s="57" t="n">
        <x:f>J22*'Hypothèses &amp; sources'!$F$4</x:f>
        <x:v>4.24</x:v>
      </x:c>
      <x:c r="M22" s="57" t="n">
        <x:f>J22*'Hypothèses &amp; sources'!$G$4</x:f>
        <x:v>4.4</x:v>
      </x:c>
      <x:c r="N22" s="57" t="n">
        <x:f>J22*'Hypothèses &amp; sources'!$H$4</x:f>
        <x:v>4.44</x:v>
      </x:c>
      <x:c r="O22" s="57" t="n">
        <x:f>J22*'Hypothèses &amp; sources'!$I$4</x:f>
        <x:v>4.96</x:v>
      </x:c>
      <x:c r="P22" s="57" t="str">
        <x:v>Lidl</x:v>
      </x:c>
      <x:c r="Q22" s="57" t="n">
        <x:f>IF(P22="Lidl",K22,IF(P22="Super U",L22,IF(P22="Carrefour",M22,IF(P22="Auchan",N22,O22))))</x:f>
        <x:v>4</x:v>
      </x:c>
      <x:c r="R22" s="57" t="n">
        <x:f>Q22/'Hypothèses &amp; sources'!$B$4</x:f>
        <x:v>1</x:v>
      </x:c>
      <x:c r="S22" s="56" t="n">
        <x:f>MAX(0,'Hypothèses &amp; sources'!$B$5*MAX(0,MIN(100,'Hypothèses &amp; sources'!$B$10-R22*'Hypothèses &amp; sources'!$B$9))+'Hypothèses &amp; sources'!$B$6*(G22/5*100)+'Hypothèses &amp; sources'!$B$7*(H22/5*100)+'Hypothèses &amp; sources'!$B$8*MAX(0,MIN(100,'Hypothèses &amp; sources'!$B$12-E22*'Hypothèses &amp; sources'!$B$11))-T22)</x:f>
        <x:v>79.6</x:v>
      </x:c>
      <x:c r="T22" s="33" t="n">
        <x:v>0</x:v>
      </x:c>
    </x:row>
    <x:row r="23">
      <x:c r="A23" s="33" t="n">
        <x:v>19</x:v>
      </x:c>
      <x:c r="B23" s="38" t="str">
        <x:v>Purée de citrouilles</x:v>
      </x:c>
      <x:c r="C23" s="38" t="str">
        <x:v>Accompagnement</x:v>
      </x:c>
      <x:c r="D23" s="38" t="str">
        <x:v>citrouille, beurre ou crème</x:v>
      </x:c>
      <x:c r="E23" s="33" t="n">
        <x:v>15</x:v>
      </x:c>
      <x:c r="F23" s="33" t="n">
        <x:v>35</x:v>
      </x:c>
      <x:c r="G23" s="56" t="n">
        <x:v>3.2</x:v>
      </x:c>
      <x:c r="H23" s="56" t="n">
        <x:v>3.8</x:v>
      </x:c>
      <x:c r="I23" s="33" t="n">
        <x:v>0</x:v>
      </x:c>
      <x:c r="J23" s="57" t="n">
        <x:v>4</x:v>
      </x:c>
      <x:c r="K23" s="57" t="n">
        <x:f>J23*'Hypothèses &amp; sources'!$E$4</x:f>
        <x:v>4</x:v>
      </x:c>
      <x:c r="L23" s="57" t="n">
        <x:f>J23*'Hypothèses &amp; sources'!$F$4</x:f>
        <x:v>4.24</x:v>
      </x:c>
      <x:c r="M23" s="57" t="n">
        <x:f>J23*'Hypothèses &amp; sources'!$G$4</x:f>
        <x:v>4.4</x:v>
      </x:c>
      <x:c r="N23" s="57" t="n">
        <x:f>J23*'Hypothèses &amp; sources'!$H$4</x:f>
        <x:v>4.44</x:v>
      </x:c>
      <x:c r="O23" s="57" t="n">
        <x:f>J23*'Hypothèses &amp; sources'!$I$4</x:f>
        <x:v>4.96</x:v>
      </x:c>
      <x:c r="P23" s="57" t="str">
        <x:v>Lidl</x:v>
      </x:c>
      <x:c r="Q23" s="57" t="n">
        <x:f>IF(P23="Lidl",K23,IF(P23="Super U",L23,IF(P23="Carrefour",M23,IF(P23="Auchan",N23,O23))))</x:f>
        <x:v>4</x:v>
      </x:c>
      <x:c r="R23" s="57" t="n">
        <x:f>Q23/'Hypothèses &amp; sources'!$B$4</x:f>
        <x:v>1</x:v>
      </x:c>
      <x:c r="S23" s="56" t="n">
        <x:f>MAX(0,'Hypothèses &amp; sources'!$B$5*MAX(0,MIN(100,'Hypothèses &amp; sources'!$B$10-R23*'Hypothèses &amp; sources'!$B$9))+'Hypothèses &amp; sources'!$B$6*(G23/5*100)+'Hypothèses &amp; sources'!$B$7*(H23/5*100)+'Hypothèses &amp; sources'!$B$8*MAX(0,MIN(100,'Hypothèses &amp; sources'!$B$12-E23*'Hypothèses &amp; sources'!$B$11))-T23)</x:f>
        <x:v>73.99999999999999</x:v>
      </x:c>
      <x:c r="T23" s="33" t="n">
        <x:v>8</x:v>
      </x:c>
    </x:row>
    <x:row r="24">
      <x:c r="A24" s="33" t="n">
        <x:v>20</x:v>
      </x:c>
      <x:c r="B24" s="38" t="str">
        <x:v>Easter eggs</x:v>
      </x:c>
      <x:c r="C24" s="38" t="str">
        <x:v>Œufs / snack</x:v>
      </x:c>
      <x:c r="D24" s="38" t="str">
        <x:v>œufs, colorant alimentaire</x:v>
      </x:c>
      <x:c r="E24" s="33" t="n">
        <x:v>15</x:v>
      </x:c>
      <x:c r="F24" s="33" t="n">
        <x:v>25</x:v>
      </x:c>
      <x:c r="G24" s="56" t="n">
        <x:v>3</x:v>
      </x:c>
      <x:c r="H24" s="56" t="n">
        <x:v>3</x:v>
      </x:c>
      <x:c r="I24" s="33" t="n">
        <x:v>0</x:v>
      </x:c>
      <x:c r="J24" s="57" t="n">
        <x:v>4</x:v>
      </x:c>
      <x:c r="K24" s="57" t="n">
        <x:f>J24*'Hypothèses &amp; sources'!$E$4</x:f>
        <x:v>4</x:v>
      </x:c>
      <x:c r="L24" s="57" t="n">
        <x:f>J24*'Hypothèses &amp; sources'!$F$4</x:f>
        <x:v>4.24</x:v>
      </x:c>
      <x:c r="M24" s="57" t="n">
        <x:f>J24*'Hypothèses &amp; sources'!$G$4</x:f>
        <x:v>4.4</x:v>
      </x:c>
      <x:c r="N24" s="57" t="n">
        <x:f>J24*'Hypothèses &amp; sources'!$H$4</x:f>
        <x:v>4.44</x:v>
      </x:c>
      <x:c r="O24" s="57" t="n">
        <x:f>J24*'Hypothèses &amp; sources'!$I$4</x:f>
        <x:v>4.96</x:v>
      </x:c>
      <x:c r="P24" s="57" t="str">
        <x:v>Lidl</x:v>
      </x:c>
      <x:c r="Q24" s="57" t="n">
        <x:f>IF(P24="Lidl",K24,IF(P24="Super U",L24,IF(P24="Carrefour",M24,IF(P24="Auchan",N24,O24))))</x:f>
        <x:v>4</x:v>
      </x:c>
      <x:c r="R24" s="57" t="n">
        <x:f>Q24/'Hypothèses &amp; sources'!$B$4</x:f>
        <x:v>1</x:v>
      </x:c>
      <x:c r="S24" s="56" t="n">
        <x:f>MAX(0,'Hypothèses &amp; sources'!$B$5*MAX(0,MIN(100,'Hypothèses &amp; sources'!$B$10-R24*'Hypothèses &amp; sources'!$B$9))+'Hypothèses &amp; sources'!$B$6*(G24/5*100)+'Hypothèses &amp; sources'!$B$7*(H24/5*100)+'Hypothèses &amp; sources'!$B$8*MAX(0,MIN(100,'Hypothèses &amp; sources'!$B$12-E24*'Hypothèses &amp; sources'!$B$11))-T24)</x:f>
        <x:v>67.99999999999999</x:v>
      </x:c>
      <x:c r="T24" s="33" t="n">
        <x:v>10</x:v>
      </x:c>
    </x:row>
    <x:row r="25">
      <x:c r="A25" s="33" t="n">
        <x:v>21</x:v>
      </x:c>
      <x:c r="B25" s="38" t="str">
        <x:v>Chana masala</x:v>
      </x:c>
      <x:c r="C25" s="38" t="str">
        <x:v>Curry / cuisine épicée</x:v>
      </x:c>
      <x:c r="D25" s="38" t="str">
        <x:v>oignon, ail, gingembre, épices, légumineuses</x:v>
      </x:c>
      <x:c r="E25" s="33" t="n">
        <x:v>25</x:v>
      </x:c>
      <x:c r="F25" s="33" t="n">
        <x:v>55</x:v>
      </x:c>
      <x:c r="G25" s="56" t="n">
        <x:v>4</x:v>
      </x:c>
      <x:c r="H25" s="56" t="n">
        <x:v>3.6</x:v>
      </x:c>
      <x:c r="I25" s="33" t="n">
        <x:v>1</x:v>
      </x:c>
      <x:c r="J25" s="57" t="n">
        <x:v>3.8</x:v>
      </x:c>
      <x:c r="K25" s="57" t="n">
        <x:f>J25*'Hypothèses &amp; sources'!$E$4</x:f>
        <x:v>3.8</x:v>
      </x:c>
      <x:c r="L25" s="57" t="n">
        <x:f>J25*'Hypothèses &amp; sources'!$F$4</x:f>
        <x:v>4.028</x:v>
      </x:c>
      <x:c r="M25" s="57" t="n">
        <x:f>J25*'Hypothèses &amp; sources'!$G$4</x:f>
        <x:v>4.18</x:v>
      </x:c>
      <x:c r="N25" s="57" t="n">
        <x:f>J25*'Hypothèses &amp; sources'!$H$4</x:f>
        <x:v>4.218</x:v>
      </x:c>
      <x:c r="O25" s="57" t="n">
        <x:f>J25*'Hypothèses &amp; sources'!$I$4</x:f>
        <x:v>4.712</x:v>
      </x:c>
      <x:c r="P25" s="57" t="str">
        <x:v>Super U</x:v>
      </x:c>
      <x:c r="Q25" s="57" t="n">
        <x:f>IF(P25="Lidl",K25,IF(P25="Super U",L25,IF(P25="Carrefour",M25,IF(P25="Auchan",N25,O25))))</x:f>
        <x:v>4.028</x:v>
      </x:c>
      <x:c r="R25" s="57" t="n">
        <x:f>Q25/'Hypothèses &amp; sources'!$B$4</x:f>
        <x:v>1.007</x:v>
      </x:c>
      <x:c r="S25" s="56" t="n">
        <x:f>MAX(0,'Hypothèses &amp; sources'!$B$5*MAX(0,MIN(100,'Hypothèses &amp; sources'!$B$10-R25*'Hypothèses &amp; sources'!$B$9))+'Hypothèses &amp; sources'!$B$6*(G25/5*100)+'Hypothèses &amp; sources'!$B$7*(H25/5*100)+'Hypothèses &amp; sources'!$B$8*MAX(0,MIN(100,'Hypothèses &amp; sources'!$B$12-E25*'Hypothèses &amp; sources'!$B$11))-T25)</x:f>
        <x:v>83.08471999999999</x:v>
      </x:c>
      <x:c r="T25" s="33" t="n">
        <x:v>0</x:v>
      </x:c>
    </x:row>
    <x:row r="26">
      <x:c r="A26" s="33" t="n">
        <x:v>22</x:v>
      </x:c>
      <x:c r="B26" s="38" t="str">
        <x:v>Ethiopian lentils/misir wot</x:v>
      </x:c>
      <x:c r="C26" s="38" t="str">
        <x:v>Curry / cuisine épicée</x:v>
      </x:c>
      <x:c r="D26" s="38" t="str">
        <x:v>oignon, ail, gingembre, épices, légumineuses</x:v>
      </x:c>
      <x:c r="E26" s="33" t="n">
        <x:v>25</x:v>
      </x:c>
      <x:c r="F26" s="33" t="n">
        <x:v>55</x:v>
      </x:c>
      <x:c r="G26" s="56" t="n">
        <x:v>4</x:v>
      </x:c>
      <x:c r="H26" s="56" t="n">
        <x:v>3.6</x:v>
      </x:c>
      <x:c r="I26" s="33" t="n">
        <x:v>1</x:v>
      </x:c>
      <x:c r="J26" s="57" t="n">
        <x:v>3.8</x:v>
      </x:c>
      <x:c r="K26" s="57" t="n">
        <x:f>J26*'Hypothèses &amp; sources'!$E$4</x:f>
        <x:v>3.8</x:v>
      </x:c>
      <x:c r="L26" s="57" t="n">
        <x:f>J26*'Hypothèses &amp; sources'!$F$4</x:f>
        <x:v>4.028</x:v>
      </x:c>
      <x:c r="M26" s="57" t="n">
        <x:f>J26*'Hypothèses &amp; sources'!$G$4</x:f>
        <x:v>4.18</x:v>
      </x:c>
      <x:c r="N26" s="57" t="n">
        <x:f>J26*'Hypothèses &amp; sources'!$H$4</x:f>
        <x:v>4.218</x:v>
      </x:c>
      <x:c r="O26" s="57" t="n">
        <x:f>J26*'Hypothèses &amp; sources'!$I$4</x:f>
        <x:v>4.712</x:v>
      </x:c>
      <x:c r="P26" s="57" t="str">
        <x:v>Super U</x:v>
      </x:c>
      <x:c r="Q26" s="57" t="n">
        <x:f>IF(P26="Lidl",K26,IF(P26="Super U",L26,IF(P26="Carrefour",M26,IF(P26="Auchan",N26,O26))))</x:f>
        <x:v>4.028</x:v>
      </x:c>
      <x:c r="R26" s="57" t="n">
        <x:f>Q26/'Hypothèses &amp; sources'!$B$4</x:f>
        <x:v>1.007</x:v>
      </x:c>
      <x:c r="S26" s="56" t="n">
        <x:f>MAX(0,'Hypothèses &amp; sources'!$B$5*MAX(0,MIN(100,'Hypothèses &amp; sources'!$B$10-R26*'Hypothèses &amp; sources'!$B$9))+'Hypothèses &amp; sources'!$B$6*(G26/5*100)+'Hypothèses &amp; sources'!$B$7*(H26/5*100)+'Hypothèses &amp; sources'!$B$8*MAX(0,MIN(100,'Hypothèses &amp; sources'!$B$12-E26*'Hypothèses &amp; sources'!$B$11))-T26)</x:f>
        <x:v>83.08471999999999</x:v>
      </x:c>
      <x:c r="T26" s="33" t="n">
        <x:v>0</x:v>
      </x:c>
    </x:row>
    <x:row r="27">
      <x:c r="A27" s="33" t="n">
        <x:v>23</x:v>
      </x:c>
      <x:c r="B27" s="38" t="str">
        <x:v>Homestyle buttery mashed potatoes</x:v>
      </x:c>
      <x:c r="C27" s="38" t="str">
        <x:v>Accompagnement</x:v>
      </x:c>
      <x:c r="D27" s="38" t="str">
        <x:v>pommes de terre, lait, beurre, sel, poivre</x:v>
      </x:c>
      <x:c r="E27" s="33" t="n">
        <x:v>15</x:v>
      </x:c>
      <x:c r="F27" s="33" t="n">
        <x:v>30</x:v>
      </x:c>
      <x:c r="G27" s="56" t="n">
        <x:v>4</x:v>
      </x:c>
      <x:c r="H27" s="56" t="n">
        <x:v>2.8</x:v>
      </x:c>
      <x:c r="I27" s="33" t="n">
        <x:v>0</x:v>
      </x:c>
      <x:c r="J27" s="57" t="n">
        <x:v>4.2</x:v>
      </x:c>
      <x:c r="K27" s="57" t="n">
        <x:f>J27*'Hypothèses &amp; sources'!$E$4</x:f>
        <x:v>4.2</x:v>
      </x:c>
      <x:c r="L27" s="57" t="n">
        <x:f>J27*'Hypothèses &amp; sources'!$F$4</x:f>
        <x:v>4.452000000000001</x:v>
      </x:c>
      <x:c r="M27" s="57" t="n">
        <x:f>J27*'Hypothèses &amp; sources'!$G$4</x:f>
        <x:v>4.620000000000001</x:v>
      </x:c>
      <x:c r="N27" s="57" t="n">
        <x:f>J27*'Hypothèses &amp; sources'!$H$4</x:f>
        <x:v>4.662000000000001</x:v>
      </x:c>
      <x:c r="O27" s="57" t="n">
        <x:f>J27*'Hypothèses &amp; sources'!$I$4</x:f>
        <x:v>5.208</x:v>
      </x:c>
      <x:c r="P27" s="57" t="str">
        <x:v>Lidl</x:v>
      </x:c>
      <x:c r="Q27" s="57" t="n">
        <x:f>IF(P27="Lidl",K27,IF(P27="Super U",L27,IF(P27="Carrefour",M27,IF(P27="Auchan",N27,O27))))</x:f>
        <x:v>4.2</x:v>
      </x:c>
      <x:c r="R27" s="57" t="n">
        <x:f>Q27/'Hypothèses &amp; sources'!$B$4</x:f>
        <x:v>1.05</x:v>
      </x:c>
      <x:c r="S27" s="56" t="n">
        <x:f>MAX(0,'Hypothèses &amp; sources'!$B$5*MAX(0,MIN(100,'Hypothèses &amp; sources'!$B$10-R27*'Hypothèses &amp; sources'!$B$9))+'Hypothèses &amp; sources'!$B$6*(G27/5*100)+'Hypothèses &amp; sources'!$B$7*(H27/5*100)+'Hypothèses &amp; sources'!$B$8*MAX(0,MIN(100,'Hypothèses &amp; sources'!$B$12-E27*'Hypothèses &amp; sources'!$B$11))-T27)</x:f>
        <x:v>74.628</x:v>
      </x:c>
      <x:c r="T27" s="33" t="n">
        <x:v>8</x:v>
      </x:c>
    </x:row>
    <x:row r="28">
      <x:c r="A28" s="33" t="n">
        <x:v>24</x:v>
      </x:c>
      <x:c r="B28" s="38" t="str">
        <x:v>Oignon masala</x:v>
      </x:c>
      <x:c r="C28" s="38" t="str">
        <x:v>Base / condiment</x:v>
      </x:c>
      <x:c r="D28" s="38" t="str">
        <x:v>oignons, tomates, ail, gingembre, épices</x:v>
      </x:c>
      <x:c r="E28" s="33" t="n">
        <x:v>20</x:v>
      </x:c>
      <x:c r="F28" s="33" t="n">
        <x:v>35</x:v>
      </x:c>
      <x:c r="G28" s="56" t="n">
        <x:v>2</x:v>
      </x:c>
      <x:c r="H28" s="56" t="n">
        <x:v>4</x:v>
      </x:c>
      <x:c r="I28" s="33" t="n">
        <x:v>0</x:v>
      </x:c>
      <x:c r="J28" s="57" t="n">
        <x:v>4.2</x:v>
      </x:c>
      <x:c r="K28" s="57" t="n">
        <x:f>J28*'Hypothèses &amp; sources'!$E$4</x:f>
        <x:v>4.2</x:v>
      </x:c>
      <x:c r="L28" s="57" t="n">
        <x:f>J28*'Hypothèses &amp; sources'!$F$4</x:f>
        <x:v>4.452000000000001</x:v>
      </x:c>
      <x:c r="M28" s="57" t="n">
        <x:f>J28*'Hypothèses &amp; sources'!$G$4</x:f>
        <x:v>4.620000000000001</x:v>
      </x:c>
      <x:c r="N28" s="57" t="n">
        <x:f>J28*'Hypothèses &amp; sources'!$H$4</x:f>
        <x:v>4.662000000000001</x:v>
      </x:c>
      <x:c r="O28" s="57" t="n">
        <x:f>J28*'Hypothèses &amp; sources'!$I$4</x:f>
        <x:v>5.208</x:v>
      </x:c>
      <x:c r="P28" s="57" t="str">
        <x:v>Lidl</x:v>
      </x:c>
      <x:c r="Q28" s="57" t="n">
        <x:f>IF(P28="Lidl",K28,IF(P28="Super U",L28,IF(P28="Carrefour",M28,IF(P28="Auchan",N28,O28))))</x:f>
        <x:v>4.2</x:v>
      </x:c>
      <x:c r="R28" s="57" t="n">
        <x:f>Q28/'Hypothèses &amp; sources'!$B$4</x:f>
        <x:v>1.05</x:v>
      </x:c>
      <x:c r="S28" s="56" t="n">
        <x:f>MAX(0,'Hypothèses &amp; sources'!$B$5*MAX(0,MIN(100,'Hypothèses &amp; sources'!$B$10-R28*'Hypothèses &amp; sources'!$B$9))+'Hypothèses &amp; sources'!$B$6*(G28/5*100)+'Hypothèses &amp; sources'!$B$7*(H28/5*100)+'Hypothèses &amp; sources'!$B$8*MAX(0,MIN(100,'Hypothèses &amp; sources'!$B$12-E28*'Hypothèses &amp; sources'!$B$11))-T28)</x:f>
        <x:v>56.42800000000001</x:v>
      </x:c>
      <x:c r="T28" s="33" t="n">
        <x:v>18</x:v>
      </x:c>
    </x:row>
    <x:row r="29">
      <x:c r="A29" s="33" t="n">
        <x:v>25</x:v>
      </x:c>
      <x:c r="B29" s="38" t="str">
        <x:v>Stock de poisson</x:v>
      </x:c>
      <x:c r="C29" s="38" t="str">
        <x:v>Base / bouillon</x:v>
      </x:c>
      <x:c r="D29" s="38" t="str">
        <x:v>arêtes de poisson, oignon, carotte, céleri, herbes</x:v>
      </x:c>
      <x:c r="E29" s="33" t="n">
        <x:v>15</x:v>
      </x:c>
      <x:c r="F29" s="33" t="n">
        <x:v>45</x:v>
      </x:c>
      <x:c r="G29" s="56" t="n">
        <x:v>1</x:v>
      </x:c>
      <x:c r="H29" s="56" t="n">
        <x:v>3</x:v>
      </x:c>
      <x:c r="I29" s="33" t="n">
        <x:v>1</x:v>
      </x:c>
      <x:c r="J29" s="57" t="n">
        <x:v>4</x:v>
      </x:c>
      <x:c r="K29" s="57" t="n">
        <x:f>J29*'Hypothèses &amp; sources'!$E$4</x:f>
        <x:v>4</x:v>
      </x:c>
      <x:c r="L29" s="57" t="n">
        <x:f>J29*'Hypothèses &amp; sources'!$F$4</x:f>
        <x:v>4.24</x:v>
      </x:c>
      <x:c r="M29" s="57" t="n">
        <x:f>J29*'Hypothèses &amp; sources'!$G$4</x:f>
        <x:v>4.4</x:v>
      </x:c>
      <x:c r="N29" s="57" t="n">
        <x:f>J29*'Hypothèses &amp; sources'!$H$4</x:f>
        <x:v>4.44</x:v>
      </x:c>
      <x:c r="O29" s="57" t="n">
        <x:f>J29*'Hypothèses &amp; sources'!$I$4</x:f>
        <x:v>4.96</x:v>
      </x:c>
      <x:c r="P29" s="57" t="str">
        <x:v>Super U</x:v>
      </x:c>
      <x:c r="Q29" s="57" t="n">
        <x:f>IF(P29="Lidl",K29,IF(P29="Super U",L29,IF(P29="Carrefour",M29,IF(P29="Auchan",N29,O29))))</x:f>
        <x:v>4.24</x:v>
      </x:c>
      <x:c r="R29" s="57" t="n">
        <x:f>Q29/'Hypothèses &amp; sources'!$B$4</x:f>
        <x:v>1.06</x:v>
      </x:c>
      <x:c r="S29" s="56" t="n">
        <x:f>MAX(0,'Hypothèses &amp; sources'!$B$5*MAX(0,MIN(100,'Hypothèses &amp; sources'!$B$10-R29*'Hypothèses &amp; sources'!$B$9))+'Hypothèses &amp; sources'!$B$6*(G29/5*100)+'Hypothèses &amp; sources'!$B$7*(H29/5*100)+'Hypothèses &amp; sources'!$B$8*MAX(0,MIN(100,'Hypothèses &amp; sources'!$B$12-E29*'Hypothèses &amp; sources'!$B$11))-T29)</x:f>
        <x:v>48.49759999999999</x:v>
      </x:c>
      <x:c r="T29" s="33" t="n">
        <x:v>18</x:v>
      </x:c>
    </x:row>
    <x:row r="30">
      <x:c r="A30" s="33" t="n">
        <x:v>26</x:v>
      </x:c>
      <x:c r="B30" s="38" t="str">
        <x:v>Split pea soup with harissa</x:v>
      </x:c>
      <x:c r="C30" s="38" t="str">
        <x:v>Soupe / bouillon</x:v>
      </x:c>
      <x:c r="D30" s="38" t="str">
        <x:v>bouillon, oignon, légumineuses, harissa</x:v>
      </x:c>
      <x:c r="E30" s="33" t="n">
        <x:v>15</x:v>
      </x:c>
      <x:c r="F30" s="33" t="n">
        <x:v>35</x:v>
      </x:c>
      <x:c r="G30" s="56" t="n">
        <x:v>4</x:v>
      </x:c>
      <x:c r="H30" s="56" t="n">
        <x:v>3.8</x:v>
      </x:c>
      <x:c r="I30" s="33" t="n">
        <x:v>1</x:v>
      </x:c>
      <x:c r="J30" s="57" t="n">
        <x:v>4.2</x:v>
      </x:c>
      <x:c r="K30" s="57" t="n">
        <x:f>J30*'Hypothèses &amp; sources'!$E$4</x:f>
        <x:v>4.2</x:v>
      </x:c>
      <x:c r="L30" s="57" t="n">
        <x:f>J30*'Hypothèses &amp; sources'!$F$4</x:f>
        <x:v>4.452000000000001</x:v>
      </x:c>
      <x:c r="M30" s="57" t="n">
        <x:f>J30*'Hypothèses &amp; sources'!$G$4</x:f>
        <x:v>4.620000000000001</x:v>
      </x:c>
      <x:c r="N30" s="57" t="n">
        <x:f>J30*'Hypothèses &amp; sources'!$H$4</x:f>
        <x:v>4.662000000000001</x:v>
      </x:c>
      <x:c r="O30" s="57" t="n">
        <x:f>J30*'Hypothèses &amp; sources'!$I$4</x:f>
        <x:v>5.208</x:v>
      </x:c>
      <x:c r="P30" s="57" t="str">
        <x:v>Super U</x:v>
      </x:c>
      <x:c r="Q30" s="57" t="n">
        <x:f>IF(P30="Lidl",K30,IF(P30="Super U",L30,IF(P30="Carrefour",M30,IF(P30="Auchan",N30,O30))))</x:f>
        <x:v>4.452000000000001</x:v>
      </x:c>
      <x:c r="R30" s="57" t="n">
        <x:f>Q30/'Hypothèses &amp; sources'!$B$4</x:f>
        <x:v>1.1130000000000002</x:v>
      </x:c>
      <x:c r="S30" s="56" t="n">
        <x:f>MAX(0,'Hypothèses &amp; sources'!$B$5*MAX(0,MIN(100,'Hypothèses &amp; sources'!$B$10-R30*'Hypothèses &amp; sources'!$B$9))+'Hypothèses &amp; sources'!$B$6*(G30/5*100)+'Hypothèses &amp; sources'!$B$7*(H30/5*100)+'Hypothèses &amp; sources'!$B$8*MAX(0,MIN(100,'Hypothèses &amp; sources'!$B$12-E30*'Hypothèses &amp; sources'!$B$11))-T30)</x:f>
        <x:v>85.91047999999999</x:v>
      </x:c>
      <x:c r="T30" s="33" t="n">
        <x:v>0</x:v>
      </x:c>
    </x:row>
    <x:row r="31">
      <x:c r="A31" s="33" t="n">
        <x:v>27</x:v>
      </x:c>
      <x:c r="B31" s="38" t="str">
        <x:v>Dum aloo/pommes de terre nouvelles en sauce masala épicée</x:v>
      </x:c>
      <x:c r="C31" s="38" t="str">
        <x:v>Curry / cuisine épicée</x:v>
      </x:c>
      <x:c r="D31" s="38" t="str">
        <x:v>oignon, ail, gingembre, épices, pommes de terre</x:v>
      </x:c>
      <x:c r="E31" s="33" t="n">
        <x:v>25</x:v>
      </x:c>
      <x:c r="F31" s="33" t="n">
        <x:v>55</x:v>
      </x:c>
      <x:c r="G31" s="56" t="n">
        <x:v>3.7</x:v>
      </x:c>
      <x:c r="H31" s="56" t="n">
        <x:v>3.1</x:v>
      </x:c>
      <x:c r="I31" s="33" t="n">
        <x:v>1</x:v>
      </x:c>
      <x:c r="J31" s="57" t="n">
        <x:v>4.2</x:v>
      </x:c>
      <x:c r="K31" s="57" t="n">
        <x:f>J31*'Hypothèses &amp; sources'!$E$4</x:f>
        <x:v>4.2</x:v>
      </x:c>
      <x:c r="L31" s="57" t="n">
        <x:f>J31*'Hypothèses &amp; sources'!$F$4</x:f>
        <x:v>4.452000000000001</x:v>
      </x:c>
      <x:c r="M31" s="57" t="n">
        <x:f>J31*'Hypothèses &amp; sources'!$G$4</x:f>
        <x:v>4.620000000000001</x:v>
      </x:c>
      <x:c r="N31" s="57" t="n">
        <x:f>J31*'Hypothèses &amp; sources'!$H$4</x:f>
        <x:v>4.662000000000001</x:v>
      </x:c>
      <x:c r="O31" s="57" t="n">
        <x:f>J31*'Hypothèses &amp; sources'!$I$4</x:f>
        <x:v>5.208</x:v>
      </x:c>
      <x:c r="P31" s="57" t="str">
        <x:v>Super U</x:v>
      </x:c>
      <x:c r="Q31" s="57" t="n">
        <x:f>IF(P31="Lidl",K31,IF(P31="Super U",L31,IF(P31="Carrefour",M31,IF(P31="Auchan",N31,O31))))</x:f>
        <x:v>4.452000000000001</x:v>
      </x:c>
      <x:c r="R31" s="57" t="n">
        <x:f>Q31/'Hypothèses &amp; sources'!$B$4</x:f>
        <x:v>1.1130000000000002</x:v>
      </x:c>
      <x:c r="S31" s="56" t="n">
        <x:f>MAX(0,'Hypothèses &amp; sources'!$B$5*MAX(0,MIN(100,'Hypothèses &amp; sources'!$B$10-R31*'Hypothèses &amp; sources'!$B$9))+'Hypothèses &amp; sources'!$B$6*(G31/5*100)+'Hypothèses &amp; sources'!$B$7*(H31/5*100)+'Hypothèses &amp; sources'!$B$8*MAX(0,MIN(100,'Hypothèses &amp; sources'!$B$12-E31*'Hypothèses &amp; sources'!$B$11))-T31)</x:f>
        <x:v>79.07047999999999</x:v>
      </x:c>
      <x:c r="T31" s="33" t="n">
        <x:v>0</x:v>
      </x:c>
    </x:row>
    <x:row r="32">
      <x:c r="A32" s="33" t="n">
        <x:v>28</x:v>
      </x:c>
      <x:c r="B32" s="38" t="str">
        <x:v>Chickpea orzo soup</x:v>
      </x:c>
      <x:c r="C32" s="38" t="str">
        <x:v>Soupe / bouillon</x:v>
      </x:c>
      <x:c r="D32" s="38" t="str">
        <x:v>bouillon, oignon, pâtes / nouilles, légumineuses</x:v>
      </x:c>
      <x:c r="E32" s="33" t="n">
        <x:v>15</x:v>
      </x:c>
      <x:c r="F32" s="33" t="n">
        <x:v>35</x:v>
      </x:c>
      <x:c r="G32" s="56" t="n">
        <x:v>4.3</x:v>
      </x:c>
      <x:c r="H32" s="56" t="n">
        <x:v>3.8</x:v>
      </x:c>
      <x:c r="I32" s="33" t="n">
        <x:v>0</x:v>
      </x:c>
      <x:c r="J32" s="57" t="n">
        <x:v>4.5</x:v>
      </x:c>
      <x:c r="K32" s="57" t="n">
        <x:f>J32*'Hypothèses &amp; sources'!$E$4</x:f>
        <x:v>4.5</x:v>
      </x:c>
      <x:c r="L32" s="57" t="n">
        <x:f>J32*'Hypothèses &amp; sources'!$F$4</x:f>
        <x:v>4.7700000000000005</x:v>
      </x:c>
      <x:c r="M32" s="57" t="n">
        <x:f>J32*'Hypothèses &amp; sources'!$G$4</x:f>
        <x:v>4.95</x:v>
      </x:c>
      <x:c r="N32" s="57" t="n">
        <x:f>J32*'Hypothèses &amp; sources'!$H$4</x:f>
        <x:v>4.995</x:v>
      </x:c>
      <x:c r="O32" s="57" t="n">
        <x:f>J32*'Hypothèses &amp; sources'!$I$4</x:f>
        <x:v>5.58</x:v>
      </x:c>
      <x:c r="P32" s="57" t="str">
        <x:v>Lidl</x:v>
      </x:c>
      <x:c r="Q32" s="57" t="n">
        <x:f>IF(P32="Lidl",K32,IF(P32="Super U",L32,IF(P32="Carrefour",M32,IF(P32="Auchan",N32,O32))))</x:f>
        <x:v>4.5</x:v>
      </x:c>
      <x:c r="R32" s="57" t="n">
        <x:f>Q32/'Hypothèses &amp; sources'!$B$4</x:f>
        <x:v>1.125</x:v>
      </x:c>
      <x:c r="S32" s="56" t="n">
        <x:f>MAX(0,'Hypothèses &amp; sources'!$B$5*MAX(0,MIN(100,'Hypothèses &amp; sources'!$B$10-R32*'Hypothèses &amp; sources'!$B$9))+'Hypothèses &amp; sources'!$B$6*(G32/5*100)+'Hypothèses &amp; sources'!$B$7*(H32/5*100)+'Hypothèses &amp; sources'!$B$8*MAX(0,MIN(100,'Hypothèses &amp; sources'!$B$12-E32*'Hypothèses &amp; sources'!$B$11))-T32)</x:f>
        <x:v>87.52999999999999</x:v>
      </x:c>
      <x:c r="T32" s="33" t="n">
        <x:v>0</x:v>
      </x:c>
    </x:row>
    <x:row r="33">
      <x:c r="A33" s="33" t="n">
        <x:v>29</x:v>
      </x:c>
      <x:c r="B33" s="38" t="str">
        <x:v>Purée de patates douces</x:v>
      </x:c>
      <x:c r="C33" s="38" t="str">
        <x:v>Accompagnement</x:v>
      </x:c>
      <x:c r="D33" s="38" t="str">
        <x:v>patates douces, beurre ou huile</x:v>
      </x:c>
      <x:c r="E33" s="33" t="n">
        <x:v>15</x:v>
      </x:c>
      <x:c r="F33" s="33" t="n">
        <x:v>30</x:v>
      </x:c>
      <x:c r="G33" s="56" t="n">
        <x:v>4</x:v>
      </x:c>
      <x:c r="H33" s="56" t="n">
        <x:v>3.7</x:v>
      </x:c>
      <x:c r="I33" s="33" t="n">
        <x:v>0</x:v>
      </x:c>
      <x:c r="J33" s="57" t="n">
        <x:v>4.5</x:v>
      </x:c>
      <x:c r="K33" s="57" t="n">
        <x:f>J33*'Hypothèses &amp; sources'!$E$4</x:f>
        <x:v>4.5</x:v>
      </x:c>
      <x:c r="L33" s="57" t="n">
        <x:f>J33*'Hypothèses &amp; sources'!$F$4</x:f>
        <x:v>4.7700000000000005</x:v>
      </x:c>
      <x:c r="M33" s="57" t="n">
        <x:f>J33*'Hypothèses &amp; sources'!$G$4</x:f>
        <x:v>4.95</x:v>
      </x:c>
      <x:c r="N33" s="57" t="n">
        <x:f>J33*'Hypothèses &amp; sources'!$H$4</x:f>
        <x:v>4.995</x:v>
      </x:c>
      <x:c r="O33" s="57" t="n">
        <x:f>J33*'Hypothèses &amp; sources'!$I$4</x:f>
        <x:v>5.58</x:v>
      </x:c>
      <x:c r="P33" s="57" t="str">
        <x:v>Lidl</x:v>
      </x:c>
      <x:c r="Q33" s="57" t="n">
        <x:f>IF(P33="Lidl",K33,IF(P33="Super U",L33,IF(P33="Carrefour",M33,IF(P33="Auchan",N33,O33))))</x:f>
        <x:v>4.5</x:v>
      </x:c>
      <x:c r="R33" s="57" t="n">
        <x:f>Q33/'Hypothèses &amp; sources'!$B$4</x:f>
        <x:v>1.125</x:v>
      </x:c>
      <x:c r="S33" s="56" t="n">
        <x:f>MAX(0,'Hypothèses &amp; sources'!$B$5*MAX(0,MIN(100,'Hypothèses &amp; sources'!$B$10-R33*'Hypothèses &amp; sources'!$B$9))+'Hypothèses &amp; sources'!$B$6*(G33/5*100)+'Hypothèses &amp; sources'!$B$7*(H33/5*100)+'Hypothèses &amp; sources'!$B$8*MAX(0,MIN(100,'Hypothèses &amp; sources'!$B$12-E33*'Hypothèses &amp; sources'!$B$11))-T33)</x:f>
        <x:v>77.49</x:v>
      </x:c>
      <x:c r="T33" s="33" t="n">
        <x:v>8</x:v>
      </x:c>
    </x:row>
    <x:row r="34">
      <x:c r="A34" s="33" t="n">
        <x:v>30</x:v>
      </x:c>
      <x:c r="B34" s="38" t="str">
        <x:v>Agua fresca fruitée</x:v>
      </x:c>
      <x:c r="C34" s="38" t="str">
        <x:v>Boisson</x:v>
      </x:c>
      <x:c r="D34" s="38" t="str">
        <x:v>fruits, eau, citron, sucre</x:v>
      </x:c>
      <x:c r="E34" s="33" t="n">
        <x:v>10</x:v>
      </x:c>
      <x:c r="F34" s="33" t="n">
        <x:v>10</x:v>
      </x:c>
      <x:c r="G34" s="56" t="n">
        <x:v>1.5</x:v>
      </x:c>
      <x:c r="H34" s="56" t="n">
        <x:v>3.5</x:v>
      </x:c>
      <x:c r="I34" s="33" t="n">
        <x:v>0</x:v>
      </x:c>
      <x:c r="J34" s="57" t="n">
        <x:v>4.5</x:v>
      </x:c>
      <x:c r="K34" s="57" t="n">
        <x:f>J34*'Hypothèses &amp; sources'!$E$4</x:f>
        <x:v>4.5</x:v>
      </x:c>
      <x:c r="L34" s="57" t="n">
        <x:f>J34*'Hypothèses &amp; sources'!$F$4</x:f>
        <x:v>4.7700000000000005</x:v>
      </x:c>
      <x:c r="M34" s="57" t="n">
        <x:f>J34*'Hypothèses &amp; sources'!$G$4</x:f>
        <x:v>4.95</x:v>
      </x:c>
      <x:c r="N34" s="57" t="n">
        <x:f>J34*'Hypothèses &amp; sources'!$H$4</x:f>
        <x:v>4.995</x:v>
      </x:c>
      <x:c r="O34" s="57" t="n">
        <x:f>J34*'Hypothèses &amp; sources'!$I$4</x:f>
        <x:v>5.58</x:v>
      </x:c>
      <x:c r="P34" s="57" t="str">
        <x:v>Lidl</x:v>
      </x:c>
      <x:c r="Q34" s="57" t="n">
        <x:f>IF(P34="Lidl",K34,IF(P34="Super U",L34,IF(P34="Carrefour",M34,IF(P34="Auchan",N34,O34))))</x:f>
        <x:v>4.5</x:v>
      </x:c>
      <x:c r="R34" s="57" t="n">
        <x:f>Q34/'Hypothèses &amp; sources'!$B$4</x:f>
        <x:v>1.125</x:v>
      </x:c>
      <x:c r="S34" s="56" t="n">
        <x:f>MAX(0,'Hypothèses &amp; sources'!$B$5*MAX(0,MIN(100,'Hypothèses &amp; sources'!$B$10-R34*'Hypothèses &amp; sources'!$B$9))+'Hypothèses &amp; sources'!$B$6*(G34/5*100)+'Hypothèses &amp; sources'!$B$7*(H34/5*100)+'Hypothèses &amp; sources'!$B$8*MAX(0,MIN(100,'Hypothèses &amp; sources'!$B$12-E34*'Hypothèses &amp; sources'!$B$11))-T34)</x:f>
        <x:v>47.09</x:v>
      </x:c>
      <x:c r="T34" s="33" t="n">
        <x:v>25</x:v>
      </x:c>
    </x:row>
    <x:row r="35">
      <x:c r="A35" s="33" t="n">
        <x:v>31</x:v>
      </x:c>
      <x:c r="B35" s="38" t="str">
        <x:v>Poivrons poblano rotis</x:v>
      </x:c>
      <x:c r="C35" s="38" t="str">
        <x:v>Plat complet</x:v>
      </x:c>
      <x:c r="D35" s="38" t="str">
        <x:v>poivrons, piments poblano</x:v>
      </x:c>
      <x:c r="E35" s="33" t="n">
        <x:v>20</x:v>
      </x:c>
      <x:c r="F35" s="33" t="n">
        <x:v>90</x:v>
      </x:c>
      <x:c r="G35" s="56" t="n">
        <x:v>3.2</x:v>
      </x:c>
      <x:c r="H35" s="56" t="n">
        <x:v>3.1</x:v>
      </x:c>
      <x:c r="I35" s="33" t="n">
        <x:v>2</x:v>
      </x:c>
      <x:c r="J35" s="57" t="n">
        <x:v>4.1</x:v>
      </x:c>
      <x:c r="K35" s="57" t="n">
        <x:f>J35*'Hypothèses &amp; sources'!$E$4</x:f>
        <x:v>4.1</x:v>
      </x:c>
      <x:c r="L35" s="57" t="n">
        <x:f>J35*'Hypothèses &amp; sources'!$F$4</x:f>
        <x:v>4.346</x:v>
      </x:c>
      <x:c r="M35" s="57" t="n">
        <x:f>J35*'Hypothèses &amp; sources'!$G$4</x:f>
        <x:v>4.51</x:v>
      </x:c>
      <x:c r="N35" s="57" t="n">
        <x:f>J35*'Hypothèses &amp; sources'!$H$4</x:f>
        <x:v>4.551</x:v>
      </x:c>
      <x:c r="O35" s="57" t="n">
        <x:f>J35*'Hypothèses &amp; sources'!$I$4</x:f>
        <x:v>5.084</x:v>
      </x:c>
      <x:c r="P35" s="57" t="str">
        <x:v>Carrefour</x:v>
      </x:c>
      <x:c r="Q35" s="57" t="n">
        <x:f>IF(P35="Lidl",K35,IF(P35="Super U",L35,IF(P35="Carrefour",M35,IF(P35="Auchan",N35,O35))))</x:f>
        <x:v>4.51</x:v>
      </x:c>
      <x:c r="R35" s="57" t="n">
        <x:f>Q35/'Hypothèses &amp; sources'!$B$4</x:f>
        <x:v>1.1275</x:v>
      </x:c>
      <x:c r="S35" s="56" t="n">
        <x:f>MAX(0,'Hypothèses &amp; sources'!$B$5*MAX(0,MIN(100,'Hypothèses &amp; sources'!$B$10-R35*'Hypothèses &amp; sources'!$B$9))+'Hypothèses &amp; sources'!$B$6*(G35/5*100)+'Hypothèses &amp; sources'!$B$7*(H35/5*100)+'Hypothèses &amp; sources'!$B$8*MAX(0,MIN(100,'Hypothèses &amp; sources'!$B$12-E35*'Hypothèses &amp; sources'!$B$11))-T35)</x:f>
        <x:v>77.5174</x:v>
      </x:c>
      <x:c r="T35" s="33" t="n">
        <x:v>0</x:v>
      </x:c>
    </x:row>
    <x:row r="36">
      <x:c r="A36" s="33" t="n">
        <x:v>32</x:v>
      </x:c>
      <x:c r="B36" s="38" t="str">
        <x:v>Mexican noodle soup</x:v>
      </x:c>
      <x:c r="C36" s="38" t="str">
        <x:v>Soupe / bouillon</x:v>
      </x:c>
      <x:c r="D36" s="38" t="str">
        <x:v>bouillon, oignon, pâtes / nouilles, légumes</x:v>
      </x:c>
      <x:c r="E36" s="33" t="n">
        <x:v>15</x:v>
      </x:c>
      <x:c r="F36" s="33" t="n">
        <x:v>35</x:v>
      </x:c>
      <x:c r="G36" s="56" t="n">
        <x:v>3.5</x:v>
      </x:c>
      <x:c r="H36" s="56" t="n">
        <x:v>3.5</x:v>
      </x:c>
      <x:c r="I36" s="33" t="n">
        <x:v>0</x:v>
      </x:c>
      <x:c r="J36" s="57" t="n">
        <x:v>4.6</x:v>
      </x:c>
      <x:c r="K36" s="57" t="n">
        <x:f>J36*'Hypothèses &amp; sources'!$E$4</x:f>
        <x:v>4.6</x:v>
      </x:c>
      <x:c r="L36" s="57" t="n">
        <x:f>J36*'Hypothèses &amp; sources'!$F$4</x:f>
        <x:v>4.8759999999999994</x:v>
      </x:c>
      <x:c r="M36" s="57" t="n">
        <x:f>J36*'Hypothèses &amp; sources'!$G$4</x:f>
        <x:v>5.06</x:v>
      </x:c>
      <x:c r="N36" s="57" t="n">
        <x:f>J36*'Hypothèses &amp; sources'!$H$4</x:f>
        <x:v>5.106</x:v>
      </x:c>
      <x:c r="O36" s="57" t="n">
        <x:f>J36*'Hypothèses &amp; sources'!$I$4</x:f>
        <x:v>5.704</x:v>
      </x:c>
      <x:c r="P36" s="57" t="str">
        <x:v>Lidl</x:v>
      </x:c>
      <x:c r="Q36" s="57" t="n">
        <x:f>IF(P36="Lidl",K36,IF(P36="Super U",L36,IF(P36="Carrefour",M36,IF(P36="Auchan",N36,O36))))</x:f>
        <x:v>4.6</x:v>
      </x:c>
      <x:c r="R36" s="57" t="n">
        <x:f>Q36/'Hypothèses &amp; sources'!$B$4</x:f>
        <x:v>1.15</x:v>
      </x:c>
      <x:c r="S36" s="56" t="n">
        <x:f>MAX(0,'Hypothèses &amp; sources'!$B$5*MAX(0,MIN(100,'Hypothèses &amp; sources'!$B$10-R36*'Hypothèses &amp; sources'!$B$9))+'Hypothèses &amp; sources'!$B$6*(G36/5*100)+'Hypothèses &amp; sources'!$B$7*(H36/5*100)+'Hypothèses &amp; sources'!$B$8*MAX(0,MIN(100,'Hypothèses &amp; sources'!$B$12-E36*'Hypothèses &amp; sources'!$B$11))-T36)</x:f>
        <x:v>81.844</x:v>
      </x:c>
      <x:c r="T36" s="33" t="n">
        <x:v>0</x:v>
      </x:c>
    </x:row>
    <x:row r="37">
      <x:c r="A37" s="33" t="n">
        <x:v>33</x:v>
      </x:c>
      <x:c r="B37" s="38" t="str">
        <x:v>Tomato eggs</x:v>
      </x:c>
      <x:c r="C37" s="38" t="str">
        <x:v>Plat complet</x:v>
      </x:c>
      <x:c r="D37" s="38" t="str">
        <x:v>œufs, tomates</x:v>
      </x:c>
      <x:c r="E37" s="33" t="n">
        <x:v>20</x:v>
      </x:c>
      <x:c r="F37" s="33" t="n">
        <x:v>40</x:v>
      </x:c>
      <x:c r="G37" s="56" t="n">
        <x:v>3.6</x:v>
      </x:c>
      <x:c r="H37" s="56" t="n">
        <x:v>3.1</x:v>
      </x:c>
      <x:c r="I37" s="33" t="n">
        <x:v>0</x:v>
      </x:c>
      <x:c r="J37" s="57" t="n">
        <x:v>4.6</x:v>
      </x:c>
      <x:c r="K37" s="57" t="n">
        <x:f>J37*'Hypothèses &amp; sources'!$E$4</x:f>
        <x:v>4.6</x:v>
      </x:c>
      <x:c r="L37" s="57" t="n">
        <x:f>J37*'Hypothèses &amp; sources'!$F$4</x:f>
        <x:v>4.8759999999999994</x:v>
      </x:c>
      <x:c r="M37" s="57" t="n">
        <x:f>J37*'Hypothèses &amp; sources'!$G$4</x:f>
        <x:v>5.06</x:v>
      </x:c>
      <x:c r="N37" s="57" t="n">
        <x:f>J37*'Hypothèses &amp; sources'!$H$4</x:f>
        <x:v>5.106</x:v>
      </x:c>
      <x:c r="O37" s="57" t="n">
        <x:f>J37*'Hypothèses &amp; sources'!$I$4</x:f>
        <x:v>5.704</x:v>
      </x:c>
      <x:c r="P37" s="57" t="str">
        <x:v>Lidl</x:v>
      </x:c>
      <x:c r="Q37" s="57" t="n">
        <x:f>IF(P37="Lidl",K37,IF(P37="Super U",L37,IF(P37="Carrefour",M37,IF(P37="Auchan",N37,O37))))</x:f>
        <x:v>4.6</x:v>
      </x:c>
      <x:c r="R37" s="57" t="n">
        <x:f>Q37/'Hypothèses &amp; sources'!$B$4</x:f>
        <x:v>1.15</x:v>
      </x:c>
      <x:c r="S37" s="56" t="n">
        <x:f>MAX(0,'Hypothèses &amp; sources'!$B$5*MAX(0,MIN(100,'Hypothèses &amp; sources'!$B$10-R37*'Hypothèses &amp; sources'!$B$9))+'Hypothèses &amp; sources'!$B$6*(G37/5*100)+'Hypothèses &amp; sources'!$B$7*(H37/5*100)+'Hypothèses &amp; sources'!$B$8*MAX(0,MIN(100,'Hypothèses &amp; sources'!$B$12-E37*'Hypothèses &amp; sources'!$B$11))-T37)</x:f>
        <x:v>79.644</x:v>
      </x:c>
      <x:c r="T37" s="33" t="n">
        <x:v>0</x:v>
      </x:c>
    </x:row>
    <x:row r="38">
      <x:c r="A38" s="33" t="n">
        <x:v>34</x:v>
      </x:c>
      <x:c r="B38" s="38" t="str">
        <x:v>Baignan bharta/smoky mashed eggplant</x:v>
      </x:c>
      <x:c r="C38" s="38" t="str">
        <x:v>Curry / cuisine épicée</x:v>
      </x:c>
      <x:c r="D38" s="38" t="str">
        <x:v>oignon, ail, gingembre, épices, aubergine</x:v>
      </x:c>
      <x:c r="E38" s="33" t="n">
        <x:v>25</x:v>
      </x:c>
      <x:c r="F38" s="33" t="n">
        <x:v>55</x:v>
      </x:c>
      <x:c r="G38" s="56" t="n">
        <x:v>3.2</x:v>
      </x:c>
      <x:c r="H38" s="56" t="n">
        <x:v>3.4</x:v>
      </x:c>
      <x:c r="I38" s="33" t="n">
        <x:v>1</x:v>
      </x:c>
      <x:c r="J38" s="57" t="n">
        <x:v>4.4</x:v>
      </x:c>
      <x:c r="K38" s="57" t="n">
        <x:f>J38*'Hypothèses &amp; sources'!$E$4</x:f>
        <x:v>4.4</x:v>
      </x:c>
      <x:c r="L38" s="57" t="n">
        <x:f>J38*'Hypothèses &amp; sources'!$F$4</x:f>
        <x:v>4.664000000000001</x:v>
      </x:c>
      <x:c r="M38" s="57" t="n">
        <x:f>J38*'Hypothèses &amp; sources'!$G$4</x:f>
        <x:v>4.840000000000001</x:v>
      </x:c>
      <x:c r="N38" s="57" t="n">
        <x:f>J38*'Hypothèses &amp; sources'!$H$4</x:f>
        <x:v>4.884000000000001</x:v>
      </x:c>
      <x:c r="O38" s="57" t="n">
        <x:f>J38*'Hypothèses &amp; sources'!$I$4</x:f>
        <x:v>5.456</x:v>
      </x:c>
      <x:c r="P38" s="57" t="str">
        <x:v>Super U</x:v>
      </x:c>
      <x:c r="Q38" s="57" t="n">
        <x:f>IF(P38="Lidl",K38,IF(P38="Super U",L38,IF(P38="Carrefour",M38,IF(P38="Auchan",N38,O38))))</x:f>
        <x:v>4.664000000000001</x:v>
      </x:c>
      <x:c r="R38" s="57" t="n">
        <x:f>Q38/'Hypothèses &amp; sources'!$B$4</x:f>
        <x:v>1.1660000000000001</x:v>
      </x:c>
      <x:c r="S38" s="56" t="n">
        <x:f>MAX(0,'Hypothèses &amp; sources'!$B$5*MAX(0,MIN(100,'Hypothèses &amp; sources'!$B$10-R38*'Hypothèses &amp; sources'!$B$9))+'Hypothèses &amp; sources'!$B$6*(G38/5*100)+'Hypothèses &amp; sources'!$B$7*(H38/5*100)+'Hypothèses &amp; sources'!$B$8*MAX(0,MIN(100,'Hypothèses &amp; sources'!$B$12-E38*'Hypothèses &amp; sources'!$B$11))-T38)</x:f>
        <x:v>77.08335999999998</x:v>
      </x:c>
      <x:c r="T38" s="33" t="n">
        <x:v>0</x:v>
      </x:c>
    </x:row>
    <x:row r="39">
      <x:c r="A39" s="33" t="n">
        <x:v>35</x:v>
      </x:c>
      <x:c r="B39" s="38" t="str">
        <x:v>Soupe aux champignons facile</x:v>
      </x:c>
      <x:c r="C39" s="38" t="str">
        <x:v>Soupe / bouillon</x:v>
      </x:c>
      <x:c r="D39" s="38" t="str">
        <x:v>bouillon, oignon, champignons</x:v>
      </x:c>
      <x:c r="E39" s="33" t="n">
        <x:v>10</x:v>
      </x:c>
      <x:c r="F39" s="33" t="n">
        <x:v>25</x:v>
      </x:c>
      <x:c r="G39" s="56" t="n">
        <x:v>3.2</x:v>
      </x:c>
      <x:c r="H39" s="56" t="n">
        <x:v>3.3</x:v>
      </x:c>
      <x:c r="I39" s="33" t="n">
        <x:v>0</x:v>
      </x:c>
      <x:c r="J39" s="57" t="n">
        <x:v>4.7</x:v>
      </x:c>
      <x:c r="K39" s="57" t="n">
        <x:f>J39*'Hypothèses &amp; sources'!$E$4</x:f>
        <x:v>4.7</x:v>
      </x:c>
      <x:c r="L39" s="57" t="n">
        <x:f>J39*'Hypothèses &amp; sources'!$F$4</x:f>
        <x:v>4.982</x:v>
      </x:c>
      <x:c r="M39" s="57" t="n">
        <x:f>J39*'Hypothèses &amp; sources'!$G$4</x:f>
        <x:v>5.170000000000001</x:v>
      </x:c>
      <x:c r="N39" s="57" t="n">
        <x:f>J39*'Hypothèses &amp; sources'!$H$4</x:f>
        <x:v>5.2170000000000005</x:v>
      </x:c>
      <x:c r="O39" s="57" t="n">
        <x:f>J39*'Hypothèses &amp; sources'!$I$4</x:f>
        <x:v>5.828</x:v>
      </x:c>
      <x:c r="P39" s="57" t="str">
        <x:v>Lidl</x:v>
      </x:c>
      <x:c r="Q39" s="57" t="n">
        <x:f>IF(P39="Lidl",K39,IF(P39="Super U",L39,IF(P39="Carrefour",M39,IF(P39="Auchan",N39,O39))))</x:f>
        <x:v>4.7</x:v>
      </x:c>
      <x:c r="R39" s="57" t="n">
        <x:f>Q39/'Hypothèses &amp; sources'!$B$4</x:f>
        <x:v>1.175</x:v>
      </x:c>
      <x:c r="S39" s="56" t="n">
        <x:f>MAX(0,'Hypothèses &amp; sources'!$B$5*MAX(0,MIN(100,'Hypothèses &amp; sources'!$B$10-R39*'Hypothèses &amp; sources'!$B$9))+'Hypothèses &amp; sources'!$B$6*(G39/5*100)+'Hypothèses &amp; sources'!$B$7*(H39/5*100)+'Hypothèses &amp; sources'!$B$8*MAX(0,MIN(100,'Hypothèses &amp; sources'!$B$12-E39*'Hypothèses &amp; sources'!$B$11))-T39)</x:f>
        <x:v>80.638</x:v>
      </x:c>
      <x:c r="T39" s="33" t="n">
        <x:v>0</x:v>
      </x:c>
    </x:row>
    <x:row r="40">
      <x:c r="A40" s="33" t="n">
        <x:v>36</x:v>
      </x:c>
      <x:c r="B40" s="38" t="str">
        <x:v>Paneer</x:v>
      </x:c>
      <x:c r="C40" s="38" t="str">
        <x:v>Fromage / accompagnement</x:v>
      </x:c>
      <x:c r="D40" s="38" t="str">
        <x:v>lait entier, citron</x:v>
      </x:c>
      <x:c r="E40" s="33" t="n">
        <x:v>20</x:v>
      </x:c>
      <x:c r="F40" s="33" t="n">
        <x:v>90</x:v>
      </x:c>
      <x:c r="G40" s="56" t="n">
        <x:v>3.5</x:v>
      </x:c>
      <x:c r="H40" s="56" t="n">
        <x:v>3.2</x:v>
      </x:c>
      <x:c r="I40" s="33" t="n">
        <x:v>1</x:v>
      </x:c>
      <x:c r="J40" s="57" t="n">
        <x:v>4.5</x:v>
      </x:c>
      <x:c r="K40" s="57" t="n">
        <x:f>J40*'Hypothèses &amp; sources'!$E$4</x:f>
        <x:v>4.5</x:v>
      </x:c>
      <x:c r="L40" s="57" t="n">
        <x:f>J40*'Hypothèses &amp; sources'!$F$4</x:f>
        <x:v>4.7700000000000005</x:v>
      </x:c>
      <x:c r="M40" s="57" t="n">
        <x:f>J40*'Hypothèses &amp; sources'!$G$4</x:f>
        <x:v>4.95</x:v>
      </x:c>
      <x:c r="N40" s="57" t="n">
        <x:f>J40*'Hypothèses &amp; sources'!$H$4</x:f>
        <x:v>4.995</x:v>
      </x:c>
      <x:c r="O40" s="57" t="n">
        <x:f>J40*'Hypothèses &amp; sources'!$I$4</x:f>
        <x:v>5.58</x:v>
      </x:c>
      <x:c r="P40" s="57" t="str">
        <x:v>Super U</x:v>
      </x:c>
      <x:c r="Q40" s="57" t="n">
        <x:f>IF(P40="Lidl",K40,IF(P40="Super U",L40,IF(P40="Carrefour",M40,IF(P40="Auchan",N40,O40))))</x:f>
        <x:v>4.7700000000000005</x:v>
      </x:c>
      <x:c r="R40" s="57" t="n">
        <x:f>Q40/'Hypothèses &amp; sources'!$B$4</x:f>
        <x:v>1.1925000000000001</x:v>
      </x:c>
      <x:c r="S40" s="56" t="n">
        <x:f>MAX(0,'Hypothèses &amp; sources'!$B$5*MAX(0,MIN(100,'Hypothèses &amp; sources'!$B$10-R40*'Hypothèses &amp; sources'!$B$9))+'Hypothèses &amp; sources'!$B$6*(G40/5*100)+'Hypothèses &amp; sources'!$B$7*(H40/5*100)+'Hypothèses &amp; sources'!$B$8*MAX(0,MIN(100,'Hypothèses &amp; sources'!$B$12-E40*'Hypothèses &amp; sources'!$B$11))-T40)</x:f>
        <x:v>71.2298</x:v>
      </x:c>
      <x:c r="T40" s="33" t="n">
        <x:v>8</x:v>
      </x:c>
    </x:row>
    <x:row r="41">
      <x:c r="A41" s="33" t="n">
        <x:v>37</x:v>
      </x:c>
      <x:c r="B41" s="38" t="str">
        <x:v>Copie conforme du riz pilaf du moyen-orient</x:v>
      </x:c>
      <x:c r="C41" s="38" t="str">
        <x:v>Riz / accompagnement</x:v>
      </x:c>
      <x:c r="D41" s="38" t="str">
        <x:v>riz, vermicelles, oignon, bouillon, beurre, épices</x:v>
      </x:c>
      <x:c r="E41" s="33" t="n">
        <x:v>15</x:v>
      </x:c>
      <x:c r="F41" s="33" t="n">
        <x:v>30</x:v>
      </x:c>
      <x:c r="G41" s="56" t="n">
        <x:v>3.7</x:v>
      </x:c>
      <x:c r="H41" s="56" t="n">
        <x:v>3.4</x:v>
      </x:c>
      <x:c r="I41" s="33" t="n">
        <x:v>0</x:v>
      </x:c>
      <x:c r="J41" s="57" t="n">
        <x:v>4.8</x:v>
      </x:c>
      <x:c r="K41" s="57" t="n">
        <x:f>J41*'Hypothèses &amp; sources'!$E$4</x:f>
        <x:v>4.8</x:v>
      </x:c>
      <x:c r="L41" s="57" t="n">
        <x:f>J41*'Hypothèses &amp; sources'!$F$4</x:f>
        <x:v>5.088</x:v>
      </x:c>
      <x:c r="M41" s="57" t="n">
        <x:f>J41*'Hypothèses &amp; sources'!$G$4</x:f>
        <x:v>5.28</x:v>
      </x:c>
      <x:c r="N41" s="57" t="n">
        <x:f>J41*'Hypothèses &amp; sources'!$H$4</x:f>
        <x:v>5.328</x:v>
      </x:c>
      <x:c r="O41" s="57" t="n">
        <x:f>J41*'Hypothèses &amp; sources'!$I$4</x:f>
        <x:v>5.952</x:v>
      </x:c>
      <x:c r="P41" s="57" t="str">
        <x:v>Lidl</x:v>
      </x:c>
      <x:c r="Q41" s="57" t="n">
        <x:f>IF(P41="Lidl",K41,IF(P41="Super U",L41,IF(P41="Carrefour",M41,IF(P41="Auchan",N41,O41))))</x:f>
        <x:v>4.8</x:v>
      </x:c>
      <x:c r="R41" s="57" t="n">
        <x:f>Q41/'Hypothèses &amp; sources'!$B$4</x:f>
        <x:v>1.2</x:v>
      </x:c>
      <x:c r="S41" s="56" t="n">
        <x:f>MAX(0,'Hypothèses &amp; sources'!$B$5*MAX(0,MIN(100,'Hypothèses &amp; sources'!$B$10-R41*'Hypothèses &amp; sources'!$B$9))+'Hypothèses &amp; sources'!$B$6*(G41/5*100)+'Hypothèses &amp; sources'!$B$7*(H41/5*100)+'Hypothèses &amp; sources'!$B$8*MAX(0,MIN(100,'Hypothèses &amp; sources'!$B$12-E41*'Hypothèses &amp; sources'!$B$11))-T41)</x:f>
        <x:v>74.35199999999999</x:v>
      </x:c>
      <x:c r="T41" s="33" t="n">
        <x:v>8</x:v>
      </x:c>
    </x:row>
    <x:row r="42">
      <x:c r="A42" s="33" t="n">
        <x:v>38</x:v>
      </x:c>
      <x:c r="B42" s="38" t="str">
        <x:v>Pico de gallo verde</x:v>
      </x:c>
      <x:c r="C42" s="38" t="str">
        <x:v>Sauce / condiment</x:v>
      </x:c>
      <x:c r="D42" s="38" t="str">
        <x:v>tomatilles ou tomates vertes, oignon, piment, coriandre, citron vert</x:v>
      </x:c>
      <x:c r="E42" s="33" t="n">
        <x:v>15</x:v>
      </x:c>
      <x:c r="F42" s="33" t="n">
        <x:v>15</x:v>
      </x:c>
      <x:c r="G42" s="56" t="n">
        <x:v>1.5</x:v>
      </x:c>
      <x:c r="H42" s="56" t="n">
        <x:v>4.5</x:v>
      </x:c>
      <x:c r="I42" s="33" t="n">
        <x:v>2</x:v>
      </x:c>
      <x:c r="J42" s="57" t="n">
        <x:v>4.5</x:v>
      </x:c>
      <x:c r="K42" s="57" t="n">
        <x:f>J42*'Hypothèses &amp; sources'!$E$4</x:f>
        <x:v>4.5</x:v>
      </x:c>
      <x:c r="L42" s="57" t="n">
        <x:f>J42*'Hypothèses &amp; sources'!$F$4</x:f>
        <x:v>4.7700000000000005</x:v>
      </x:c>
      <x:c r="M42" s="57" t="n">
        <x:f>J42*'Hypothèses &amp; sources'!$G$4</x:f>
        <x:v>4.95</x:v>
      </x:c>
      <x:c r="N42" s="57" t="n">
        <x:f>J42*'Hypothèses &amp; sources'!$H$4</x:f>
        <x:v>4.995</x:v>
      </x:c>
      <x:c r="O42" s="57" t="n">
        <x:f>J42*'Hypothèses &amp; sources'!$I$4</x:f>
        <x:v>5.58</x:v>
      </x:c>
      <x:c r="P42" s="57" t="str">
        <x:v>Carrefour</x:v>
      </x:c>
      <x:c r="Q42" s="57" t="n">
        <x:f>IF(P42="Lidl",K42,IF(P42="Super U",L42,IF(P42="Carrefour",M42,IF(P42="Auchan",N42,O42))))</x:f>
        <x:v>4.95</x:v>
      </x:c>
      <x:c r="R42" s="57" t="n">
        <x:f>Q42/'Hypothèses &amp; sources'!$B$4</x:f>
        <x:v>1.2375</x:v>
      </x:c>
      <x:c r="S42" s="56" t="n">
        <x:f>MAX(0,'Hypothèses &amp; sources'!$B$5*MAX(0,MIN(100,'Hypothèses &amp; sources'!$B$10-R42*'Hypothèses &amp; sources'!$B$9))+'Hypothèses &amp; sources'!$B$6*(G42/5*100)+'Hypothèses &amp; sources'!$B$7*(H42/5*100)+'Hypothèses &amp; sources'!$B$8*MAX(0,MIN(100,'Hypothèses &amp; sources'!$B$12-E42*'Hypothèses &amp; sources'!$B$11))-T42)</x:f>
        <x:v>55.803</x:v>
      </x:c>
      <x:c r="T42" s="33" t="n">
        <x:v>18</x:v>
      </x:c>
    </x:row>
    <x:row r="43">
      <x:c r="A43" s="33" t="n">
        <x:v>39</x:v>
      </x:c>
      <x:c r="B43" s="38" t="str">
        <x:v>Soupe de mais douce aux légumes</x:v>
      </x:c>
      <x:c r="C43" s="38" t="str">
        <x:v>Soupe / végétarien</x:v>
      </x:c>
      <x:c r="D43" s="38" t="str">
        <x:v>maïs, carotte, céleri, oignon, bouillon</x:v>
      </x:c>
      <x:c r="E43" s="33" t="n">
        <x:v>15</x:v>
      </x:c>
      <x:c r="F43" s="33" t="n">
        <x:v>35</x:v>
      </x:c>
      <x:c r="G43" s="56" t="n">
        <x:v>3.5</x:v>
      </x:c>
      <x:c r="H43" s="56" t="n">
        <x:v>4.2</x:v>
      </x:c>
      <x:c r="I43" s="33" t="n">
        <x:v>0</x:v>
      </x:c>
      <x:c r="J43" s="57" t="n">
        <x:v>5</x:v>
      </x:c>
      <x:c r="K43" s="57" t="n">
        <x:f>J43*'Hypothèses &amp; sources'!$E$4</x:f>
        <x:v>5</x:v>
      </x:c>
      <x:c r="L43" s="57" t="n">
        <x:f>J43*'Hypothèses &amp; sources'!$F$4</x:f>
        <x:v>5.300000000000001</x:v>
      </x:c>
      <x:c r="M43" s="57" t="n">
        <x:f>J43*'Hypothèses &amp; sources'!$G$4</x:f>
        <x:v>5.5</x:v>
      </x:c>
      <x:c r="N43" s="57" t="n">
        <x:f>J43*'Hypothèses &amp; sources'!$H$4</x:f>
        <x:v>5.550000000000001</x:v>
      </x:c>
      <x:c r="O43" s="57" t="n">
        <x:f>J43*'Hypothèses &amp; sources'!$I$4</x:f>
        <x:v>6.2</x:v>
      </x:c>
      <x:c r="P43" s="57" t="str">
        <x:v>Lidl</x:v>
      </x:c>
      <x:c r="Q43" s="57" t="n">
        <x:f>IF(P43="Lidl",K43,IF(P43="Super U",L43,IF(P43="Carrefour",M43,IF(P43="Auchan",N43,O43))))</x:f>
        <x:v>5</x:v>
      </x:c>
      <x:c r="R43" s="57" t="n">
        <x:f>Q43/'Hypothèses &amp; sources'!$B$4</x:f>
        <x:v>1.25</x:v>
      </x:c>
      <x:c r="S43" s="56" t="n">
        <x:f>MAX(0,'Hypothèses &amp; sources'!$B$5*MAX(0,MIN(100,'Hypothèses &amp; sources'!$B$10-R43*'Hypothèses &amp; sources'!$B$9))+'Hypothèses &amp; sources'!$B$6*(G43/5*100)+'Hypothèses &amp; sources'!$B$7*(H43/5*100)+'Hypothèses &amp; sources'!$B$8*MAX(0,MIN(100,'Hypothèses &amp; sources'!$B$12-E43*'Hypothèses &amp; sources'!$B$11))-T43)</x:f>
        <x:v>83.86</x:v>
      </x:c>
      <x:c r="T43" s="33" t="n">
        <x:v>0</x:v>
      </x:c>
    </x:row>
    <x:row r="44">
      <x:c r="A44" s="33" t="n">
        <x:v>40</x:v>
      </x:c>
      <x:c r="B44" s="38" t="str">
        <x:v>Chili garlic noodles</x:v>
      </x:c>
      <x:c r="C44" s="38" t="str">
        <x:v>Nouilles / végétarien</x:v>
      </x:c>
      <x:c r="D44" s="38" t="str">
        <x:v>nouilles, ail, piment, sauce soja, huile de sésame, ciboule</x:v>
      </x:c>
      <x:c r="E44" s="33" t="n">
        <x:v>10</x:v>
      </x:c>
      <x:c r="F44" s="33" t="n">
        <x:v>20</x:v>
      </x:c>
      <x:c r="G44" s="56" t="n">
        <x:v>3.8</x:v>
      </x:c>
      <x:c r="H44" s="56" t="n">
        <x:v>3.2</x:v>
      </x:c>
      <x:c r="I44" s="33" t="n">
        <x:v>1</x:v>
      </x:c>
      <x:c r="J44" s="57" t="n">
        <x:v>4.8</x:v>
      </x:c>
      <x:c r="K44" s="57" t="n">
        <x:f>J44*'Hypothèses &amp; sources'!$E$4</x:f>
        <x:v>4.8</x:v>
      </x:c>
      <x:c r="L44" s="57" t="n">
        <x:f>J44*'Hypothèses &amp; sources'!$F$4</x:f>
        <x:v>5.088</x:v>
      </x:c>
      <x:c r="M44" s="57" t="n">
        <x:f>J44*'Hypothèses &amp; sources'!$G$4</x:f>
        <x:v>5.28</x:v>
      </x:c>
      <x:c r="N44" s="57" t="n">
        <x:f>J44*'Hypothèses &amp; sources'!$H$4</x:f>
        <x:v>5.328</x:v>
      </x:c>
      <x:c r="O44" s="57" t="n">
        <x:f>J44*'Hypothèses &amp; sources'!$I$4</x:f>
        <x:v>5.952</x:v>
      </x:c>
      <x:c r="P44" s="57" t="str">
        <x:v>Super U</x:v>
      </x:c>
      <x:c r="Q44" s="57" t="n">
        <x:f>IF(P44="Lidl",K44,IF(P44="Super U",L44,IF(P44="Carrefour",M44,IF(P44="Auchan",N44,O44))))</x:f>
        <x:v>5.088</x:v>
      </x:c>
      <x:c r="R44" s="57" t="n">
        <x:f>Q44/'Hypothèses &amp; sources'!$B$4</x:f>
        <x:v>1.272</x:v>
      </x:c>
      <x:c r="S44" s="56" t="n">
        <x:f>MAX(0,'Hypothèses &amp; sources'!$B$5*MAX(0,MIN(100,'Hypothèses &amp; sources'!$B$10-R44*'Hypothèses &amp; sources'!$B$9))+'Hypothèses &amp; sources'!$B$6*(G44/5*100)+'Hypothèses &amp; sources'!$B$7*(H44/5*100)+'Hypothèses &amp; sources'!$B$8*MAX(0,MIN(100,'Hypothèses &amp; sources'!$B$12-E44*'Hypothèses &amp; sources'!$B$11))-T44)</x:f>
        <x:v>83.14912</x:v>
      </x:c>
      <x:c r="T44" s="33" t="n">
        <x:v>0</x:v>
      </x:c>
    </x:row>
    <x:row r="45">
      <x:c r="A45" s="33" t="n">
        <x:v>41</x:v>
      </x:c>
      <x:c r="B45" s="38" t="str">
        <x:v>Eggplant &amp; olive spread</x:v>
      </x:c>
      <x:c r="C45" s="38" t="str">
        <x:v>Apéritif / tartinade</x:v>
      </x:c>
      <x:c r="D45" s="38" t="str">
        <x:v>aubergine, olives, ail, citron, huile d’olive</x:v>
      </x:c>
      <x:c r="E45" s="33" t="n">
        <x:v>15</x:v>
      </x:c>
      <x:c r="F45" s="33" t="n">
        <x:v>35</x:v>
      </x:c>
      <x:c r="G45" s="56" t="n">
        <x:v>2.5</x:v>
      </x:c>
      <x:c r="H45" s="56" t="n">
        <x:v>4</x:v>
      </x:c>
      <x:c r="I45" s="33" t="n">
        <x:v>0</x:v>
      </x:c>
      <x:c r="J45" s="57" t="n">
        <x:v>5.2</x:v>
      </x:c>
      <x:c r="K45" s="57" t="n">
        <x:f>J45*'Hypothèses &amp; sources'!$E$4</x:f>
        <x:v>5.2</x:v>
      </x:c>
      <x:c r="L45" s="57" t="n">
        <x:f>J45*'Hypothèses &amp; sources'!$F$4</x:f>
        <x:v>5.5120000000000005</x:v>
      </x:c>
      <x:c r="M45" s="57" t="n">
        <x:f>J45*'Hypothèses &amp; sources'!$G$4</x:f>
        <x:v>5.720000000000001</x:v>
      </x:c>
      <x:c r="N45" s="57" t="n">
        <x:f>J45*'Hypothèses &amp; sources'!$H$4</x:f>
        <x:v>5.772000000000001</x:v>
      </x:c>
      <x:c r="O45" s="57" t="n">
        <x:f>J45*'Hypothèses &amp; sources'!$I$4</x:f>
        <x:v>6.448</x:v>
      </x:c>
      <x:c r="P45" s="57" t="str">
        <x:v>Lidl</x:v>
      </x:c>
      <x:c r="Q45" s="57" t="n">
        <x:f>IF(P45="Lidl",K45,IF(P45="Super U",L45,IF(P45="Carrefour",M45,IF(P45="Auchan",N45,O45))))</x:f>
        <x:v>5.2</x:v>
      </x:c>
      <x:c r="R45" s="57" t="n">
        <x:f>Q45/'Hypothèses &amp; sources'!$B$4</x:f>
        <x:v>1.3</x:v>
      </x:c>
      <x:c r="S45" s="56" t="n">
        <x:f>MAX(0,'Hypothèses &amp; sources'!$B$5*MAX(0,MIN(100,'Hypothèses &amp; sources'!$B$10-R45*'Hypothèses &amp; sources'!$B$9))+'Hypothèses &amp; sources'!$B$6*(G45/5*100)+'Hypothèses &amp; sources'!$B$7*(H45/5*100)+'Hypothèses &amp; sources'!$B$8*MAX(0,MIN(100,'Hypothèses &amp; sources'!$B$12-E45*'Hypothèses &amp; sources'!$B$11))-T45)</x:f>
        <x:v>67.288</x:v>
      </x:c>
      <x:c r="T45" s="33" t="n">
        <x:v>10</x:v>
      </x:c>
    </x:row>
    <x:row r="46">
      <x:c r="A46" s="33" t="n">
        <x:v>42</x:v>
      </x:c>
      <x:c r="B46" s="38" t="str">
        <x:v>Soupe de pomme de terre et de mais</x:v>
      </x:c>
      <x:c r="C46" s="38" t="str">
        <x:v>Soupe / bouillon</x:v>
      </x:c>
      <x:c r="D46" s="38" t="str">
        <x:v>bouillon, oignon, pommes de terre, maïs</x:v>
      </x:c>
      <x:c r="E46" s="33" t="n">
        <x:v>15</x:v>
      </x:c>
      <x:c r="F46" s="33" t="n">
        <x:v>35</x:v>
      </x:c>
      <x:c r="G46" s="56" t="n">
        <x:v>3.7</x:v>
      </x:c>
      <x:c r="H46" s="56" t="n">
        <x:v>3.3</x:v>
      </x:c>
      <x:c r="I46" s="33" t="n">
        <x:v>0</x:v>
      </x:c>
      <x:c r="J46" s="57" t="n">
        <x:v>5.3</x:v>
      </x:c>
      <x:c r="K46" s="57" t="n">
        <x:f>J46*'Hypothèses &amp; sources'!$E$4</x:f>
        <x:v>5.3</x:v>
      </x:c>
      <x:c r="L46" s="57" t="n">
        <x:f>J46*'Hypothèses &amp; sources'!$F$4</x:f>
        <x:v>5.618</x:v>
      </x:c>
      <x:c r="M46" s="57" t="n">
        <x:f>J46*'Hypothèses &amp; sources'!$G$4</x:f>
        <x:v>5.83</x:v>
      </x:c>
      <x:c r="N46" s="57" t="n">
        <x:f>J46*'Hypothèses &amp; sources'!$H$4</x:f>
        <x:v>5.883</x:v>
      </x:c>
      <x:c r="O46" s="57" t="n">
        <x:f>J46*'Hypothèses &amp; sources'!$I$4</x:f>
        <x:v>6.572</x:v>
      </x:c>
      <x:c r="P46" s="57" t="str">
        <x:v>Lidl</x:v>
      </x:c>
      <x:c r="Q46" s="57" t="n">
        <x:f>IF(P46="Lidl",K46,IF(P46="Super U",L46,IF(P46="Carrefour",M46,IF(P46="Auchan",N46,O46))))</x:f>
        <x:v>5.3</x:v>
      </x:c>
      <x:c r="R46" s="57" t="n">
        <x:f>Q46/'Hypothèses &amp; sources'!$B$4</x:f>
        <x:v>1.325</x:v>
      </x:c>
      <x:c r="S46" s="56" t="n">
        <x:f>MAX(0,'Hypothèses &amp; sources'!$B$5*MAX(0,MIN(100,'Hypothèses &amp; sources'!$B$10-R46*'Hypothèses &amp; sources'!$B$9))+'Hypothèses &amp; sources'!$B$6*(G46/5*100)+'Hypothèses &amp; sources'!$B$7*(H46/5*100)+'Hypothèses &amp; sources'!$B$8*MAX(0,MIN(100,'Hypothèses &amp; sources'!$B$12-E46*'Hypothèses &amp; sources'!$B$11))-T46)</x:f>
        <x:v>81.362</x:v>
      </x:c>
      <x:c r="T46" s="33" t="n">
        <x:v>0</x:v>
      </x:c>
    </x:row>
    <x:row r="47">
      <x:c r="A47" s="33" t="n">
        <x:v>43</x:v>
      </x:c>
      <x:c r="B47" s="38" t="str">
        <x:v>Tahari/riz jaune aux pomem de terre</x:v>
      </x:c>
      <x:c r="C47" s="38" t="str">
        <x:v>Riz / végétarien</x:v>
      </x:c>
      <x:c r="D47" s="38" t="str">
        <x:v>riz, pommes de terre, oignon, curcuma, épices</x:v>
      </x:c>
      <x:c r="E47" s="33" t="n">
        <x:v>20</x:v>
      </x:c>
      <x:c r="F47" s="33" t="n">
        <x:v>40</x:v>
      </x:c>
      <x:c r="G47" s="56" t="n">
        <x:v>4.3</x:v>
      </x:c>
      <x:c r="H47" s="56" t="n">
        <x:v>3.8</x:v>
      </x:c>
      <x:c r="I47" s="33" t="n">
        <x:v>1</x:v>
      </x:c>
      <x:c r="J47" s="57" t="n">
        <x:v>5</x:v>
      </x:c>
      <x:c r="K47" s="57" t="n">
        <x:f>J47*'Hypothèses &amp; sources'!$E$4</x:f>
        <x:v>5</x:v>
      </x:c>
      <x:c r="L47" s="57" t="n">
        <x:f>J47*'Hypothèses &amp; sources'!$F$4</x:f>
        <x:v>5.300000000000001</x:v>
      </x:c>
      <x:c r="M47" s="57" t="n">
        <x:f>J47*'Hypothèses &amp; sources'!$G$4</x:f>
        <x:v>5.5</x:v>
      </x:c>
      <x:c r="N47" s="57" t="n">
        <x:f>J47*'Hypothèses &amp; sources'!$H$4</x:f>
        <x:v>5.550000000000001</x:v>
      </x:c>
      <x:c r="O47" s="57" t="n">
        <x:f>J47*'Hypothèses &amp; sources'!$I$4</x:f>
        <x:v>6.2</x:v>
      </x:c>
      <x:c r="P47" s="57" t="str">
        <x:v>Super U</x:v>
      </x:c>
      <x:c r="Q47" s="57" t="n">
        <x:f>IF(P47="Lidl",K47,IF(P47="Super U",L47,IF(P47="Carrefour",M47,IF(P47="Auchan",N47,O47))))</x:f>
        <x:v>5.300000000000001</x:v>
      </x:c>
      <x:c r="R47" s="57" t="n">
        <x:f>Q47/'Hypothèses &amp; sources'!$B$4</x:f>
        <x:v>1.3250000000000002</x:v>
      </x:c>
      <x:c r="S47" s="56" t="n">
        <x:f>MAX(0,'Hypothèses &amp; sources'!$B$5*MAX(0,MIN(100,'Hypothèses &amp; sources'!$B$10-R47*'Hypothèses &amp; sources'!$B$9))+'Hypothèses &amp; sources'!$B$6*(G47/5*100)+'Hypothèses &amp; sources'!$B$7*(H47/5*100)+'Hypothèses &amp; sources'!$B$8*MAX(0,MIN(100,'Hypothèses &amp; sources'!$B$12-E47*'Hypothèses &amp; sources'!$B$11))-T47)</x:f>
        <x:v>85.20200000000001</x:v>
      </x:c>
      <x:c r="T47" s="33" t="n">
        <x:v>0</x:v>
      </x:c>
    </x:row>
    <x:row r="48">
      <x:c r="A48" s="33" t="n">
        <x:v>44</x:v>
      </x:c>
      <x:c r="B48" s="38" t="str">
        <x:v>Mashed potatoes bites</x:v>
      </x:c>
      <x:c r="C48" s="38" t="str">
        <x:v>Apéritif / snack</x:v>
      </x:c>
      <x:c r="D48" s="38" t="str">
        <x:v>purée de pommes de terre, fromage, œuf, chapelure</x:v>
      </x:c>
      <x:c r="E48" s="33" t="n">
        <x:v>20</x:v>
      </x:c>
      <x:c r="F48" s="33" t="n">
        <x:v>35</x:v>
      </x:c>
      <x:c r="G48" s="56" t="n">
        <x:v>3.7</x:v>
      </x:c>
      <x:c r="H48" s="56" t="n">
        <x:v>2.8</x:v>
      </x:c>
      <x:c r="I48" s="33" t="n">
        <x:v>0</x:v>
      </x:c>
      <x:c r="J48" s="57" t="n">
        <x:v>5.5</x:v>
      </x:c>
      <x:c r="K48" s="57" t="n">
        <x:f>J48*'Hypothèses &amp; sources'!$E$4</x:f>
        <x:v>5.5</x:v>
      </x:c>
      <x:c r="L48" s="57" t="n">
        <x:f>J48*'Hypothèses &amp; sources'!$F$4</x:f>
        <x:v>5.83</x:v>
      </x:c>
      <x:c r="M48" s="57" t="n">
        <x:f>J48*'Hypothèses &amp; sources'!$G$4</x:f>
        <x:v>6.050000000000001</x:v>
      </x:c>
      <x:c r="N48" s="57" t="n">
        <x:f>J48*'Hypothèses &amp; sources'!$H$4</x:f>
        <x:v>6.105</x:v>
      </x:c>
      <x:c r="O48" s="57" t="n">
        <x:f>J48*'Hypothèses &amp; sources'!$I$4</x:f>
        <x:v>6.82</x:v>
      </x:c>
      <x:c r="P48" s="57" t="str">
        <x:v>Lidl</x:v>
      </x:c>
      <x:c r="Q48" s="57" t="n">
        <x:f>IF(P48="Lidl",K48,IF(P48="Super U",L48,IF(P48="Carrefour",M48,IF(P48="Auchan",N48,O48))))</x:f>
        <x:v>5.5</x:v>
      </x:c>
      <x:c r="R48" s="57" t="n">
        <x:f>Q48/'Hypothèses &amp; sources'!$B$4</x:f>
        <x:v>1.375</x:v>
      </x:c>
      <x:c r="S48" s="56" t="n">
        <x:f>MAX(0,'Hypothèses &amp; sources'!$B$5*MAX(0,MIN(100,'Hypothèses &amp; sources'!$B$10-R48*'Hypothèses &amp; sources'!$B$9))+'Hypothèses &amp; sources'!$B$6*(G48/5*100)+'Hypothèses &amp; sources'!$B$7*(H48/5*100)+'Hypothèses &amp; sources'!$B$8*MAX(0,MIN(100,'Hypothèses &amp; sources'!$B$12-E48*'Hypothèses &amp; sources'!$B$11))-T48)</x:f>
        <x:v>67.99</x:v>
      </x:c>
      <x:c r="T48" s="33" t="n">
        <x:v>10</x:v>
      </x:c>
    </x:row>
    <x:row r="49">
      <x:c r="A49" s="33" t="n">
        <x:v>45</x:v>
      </x:c>
      <x:c r="B49" s="38" t="str">
        <x:v>Peanut butter fudge</x:v>
      </x:c>
      <x:c r="C49" s="38" t="str">
        <x:v>Dessert</x:v>
      </x:c>
      <x:c r="D49" s="38" t="str">
        <x:v>beurre de cacahuète, sucre, beurre</x:v>
      </x:c>
      <x:c r="E49" s="33" t="n">
        <x:v>10</x:v>
      </x:c>
      <x:c r="F49" s="33" t="n">
        <x:v>70</x:v>
      </x:c>
      <x:c r="G49" s="56" t="n">
        <x:v>2.5</x:v>
      </x:c>
      <x:c r="H49" s="56" t="n">
        <x:v>1.5</x:v>
      </x:c>
      <x:c r="I49" s="33" t="n">
        <x:v>0</x:v>
      </x:c>
      <x:c r="J49" s="57" t="n">
        <x:v>5.5</x:v>
      </x:c>
      <x:c r="K49" s="57" t="n">
        <x:f>J49*'Hypothèses &amp; sources'!$E$4</x:f>
        <x:v>5.5</x:v>
      </x:c>
      <x:c r="L49" s="57" t="n">
        <x:f>J49*'Hypothèses &amp; sources'!$F$4</x:f>
        <x:v>5.83</x:v>
      </x:c>
      <x:c r="M49" s="57" t="n">
        <x:f>J49*'Hypothèses &amp; sources'!$G$4</x:f>
        <x:v>6.050000000000001</x:v>
      </x:c>
      <x:c r="N49" s="57" t="n">
        <x:f>J49*'Hypothèses &amp; sources'!$H$4</x:f>
        <x:v>6.105</x:v>
      </x:c>
      <x:c r="O49" s="57" t="n">
        <x:f>J49*'Hypothèses &amp; sources'!$I$4</x:f>
        <x:v>6.82</x:v>
      </x:c>
      <x:c r="P49" s="57" t="str">
        <x:v>Lidl</x:v>
      </x:c>
      <x:c r="Q49" s="57" t="n">
        <x:f>IF(P49="Lidl",K49,IF(P49="Super U",L49,IF(P49="Carrefour",M49,IF(P49="Auchan",N49,O49))))</x:f>
        <x:v>5.5</x:v>
      </x:c>
      <x:c r="R49" s="57" t="n">
        <x:f>Q49/'Hypothèses &amp; sources'!$B$4</x:f>
        <x:v>1.375</x:v>
      </x:c>
      <x:c r="S49" s="56" t="n">
        <x:f>MAX(0,'Hypothèses &amp; sources'!$B$5*MAX(0,MIN(100,'Hypothèses &amp; sources'!$B$10-R49*'Hypothèses &amp; sources'!$B$9))+'Hypothèses &amp; sources'!$B$6*(G49/5*100)+'Hypothèses &amp; sources'!$B$7*(H49/5*100)+'Hypothèses &amp; sources'!$B$8*MAX(0,MIN(100,'Hypothèses &amp; sources'!$B$12-E49*'Hypothèses &amp; sources'!$B$11))-T49)</x:f>
        <x:v>57.22999999999999</x:v>
      </x:c>
      <x:c r="T49" s="33" t="n">
        <x:v>12</x:v>
      </x:c>
    </x:row>
    <x:row r="50">
      <x:c r="A50" s="33" t="n">
        <x:v>46</x:v>
      </x:c>
      <x:c r="B50" s="38" t="str">
        <x:v>Israeli couscous and lentils</x:v>
      </x:c>
      <x:c r="C50" s="38" t="str">
        <x:v>Céréales / légumineuses</x:v>
      </x:c>
      <x:c r="D50" s="38" t="str">
        <x:v>couscous perlé, lentilles, oignon, carotte, bouillon, herbes</x:v>
      </x:c>
      <x:c r="E50" s="33" t="n">
        <x:v>15</x:v>
      </x:c>
      <x:c r="F50" s="33" t="n">
        <x:v>35</x:v>
      </x:c>
      <x:c r="G50" s="56" t="n">
        <x:v>4.5</x:v>
      </x:c>
      <x:c r="H50" s="56" t="n">
        <x:v>4.6</x:v>
      </x:c>
      <x:c r="I50" s="33" t="n">
        <x:v>1</x:v>
      </x:c>
      <x:c r="J50" s="57" t="n">
        <x:v>5.2</x:v>
      </x:c>
      <x:c r="K50" s="57" t="n">
        <x:f>J50*'Hypothèses &amp; sources'!$E$4</x:f>
        <x:v>5.2</x:v>
      </x:c>
      <x:c r="L50" s="57" t="n">
        <x:f>J50*'Hypothèses &amp; sources'!$F$4</x:f>
        <x:v>5.5120000000000005</x:v>
      </x:c>
      <x:c r="M50" s="57" t="n">
        <x:f>J50*'Hypothèses &amp; sources'!$G$4</x:f>
        <x:v>5.720000000000001</x:v>
      </x:c>
      <x:c r="N50" s="57" t="n">
        <x:f>J50*'Hypothèses &amp; sources'!$H$4</x:f>
        <x:v>5.772000000000001</x:v>
      </x:c>
      <x:c r="O50" s="57" t="n">
        <x:f>J50*'Hypothèses &amp; sources'!$I$4</x:f>
        <x:v>6.448</x:v>
      </x:c>
      <x:c r="P50" s="57" t="str">
        <x:v>Super U</x:v>
      </x:c>
      <x:c r="Q50" s="57" t="n">
        <x:f>IF(P50="Lidl",K50,IF(P50="Super U",L50,IF(P50="Carrefour",M50,IF(P50="Auchan",N50,O50))))</x:f>
        <x:v>5.5120000000000005</x:v>
      </x:c>
      <x:c r="R50" s="57" t="n">
        <x:f>Q50/'Hypothèses &amp; sources'!$B$4</x:f>
        <x:v>1.3780000000000001</x:v>
      </x:c>
      <x:c r="S50" s="56" t="n">
        <x:f>MAX(0,'Hypothèses &amp; sources'!$B$5*MAX(0,MIN(100,'Hypothèses &amp; sources'!$B$10-R50*'Hypothèses &amp; sources'!$B$9))+'Hypothèses &amp; sources'!$B$6*(G50/5*100)+'Hypothèses &amp; sources'!$B$7*(H50/5*100)+'Hypothèses &amp; sources'!$B$8*MAX(0,MIN(100,'Hypothèses &amp; sources'!$B$12-E50*'Hypothèses &amp; sources'!$B$11))-T50)</x:f>
        <x:v>90.25488</x:v>
      </x:c>
      <x:c r="T50" s="33" t="n">
        <x:v>0</x:v>
      </x:c>
    </x:row>
    <x:row r="51">
      <x:c r="A51" s="33" t="n">
        <x:v>47</x:v>
      </x:c>
      <x:c r="B51" s="38" t="str">
        <x:v>Trempette au fromage à la bière</x:v>
      </x:c>
      <x:c r="C51" s="38" t="str">
        <x:v>Apéritif / tartinade</x:v>
      </x:c>
      <x:c r="D51" s="38" t="str">
        <x:v>crème / fromage, bière</x:v>
      </x:c>
      <x:c r="E51" s="33" t="n">
        <x:v>10</x:v>
      </x:c>
      <x:c r="F51" s="33" t="n">
        <x:v>25</x:v>
      </x:c>
      <x:c r="G51" s="56" t="n">
        <x:v>3.5</x:v>
      </x:c>
      <x:c r="H51" s="56" t="n">
        <x:v>3</x:v>
      </x:c>
      <x:c r="I51" s="33" t="n">
        <x:v>0</x:v>
      </x:c>
      <x:c r="J51" s="57" t="n">
        <x:v>5.6</x:v>
      </x:c>
      <x:c r="K51" s="57" t="n">
        <x:f>J51*'Hypothèses &amp; sources'!$E$4</x:f>
        <x:v>5.6</x:v>
      </x:c>
      <x:c r="L51" s="57" t="n">
        <x:f>J51*'Hypothèses &amp; sources'!$F$4</x:f>
        <x:v>5.936</x:v>
      </x:c>
      <x:c r="M51" s="57" t="n">
        <x:f>J51*'Hypothèses &amp; sources'!$G$4</x:f>
        <x:v>6.16</x:v>
      </x:c>
      <x:c r="N51" s="57" t="n">
        <x:f>J51*'Hypothèses &amp; sources'!$H$4</x:f>
        <x:v>6.216</x:v>
      </x:c>
      <x:c r="O51" s="57" t="n">
        <x:f>J51*'Hypothèses &amp; sources'!$I$4</x:f>
        <x:v>6.944</x:v>
      </x:c>
      <x:c r="P51" s="57" t="str">
        <x:v>Lidl</x:v>
      </x:c>
      <x:c r="Q51" s="57" t="n">
        <x:f>IF(P51="Lidl",K51,IF(P51="Super U",L51,IF(P51="Carrefour",M51,IF(P51="Auchan",N51,O51))))</x:f>
        <x:v>5.6</x:v>
      </x:c>
      <x:c r="R51" s="57" t="n">
        <x:f>Q51/'Hypothèses &amp; sources'!$B$4</x:f>
        <x:v>1.4</x:v>
      </x:c>
      <x:c r="S51" s="56" t="n">
        <x:f>MAX(0,'Hypothèses &amp; sources'!$B$5*MAX(0,MIN(100,'Hypothèses &amp; sources'!$B$10-R51*'Hypothèses &amp; sources'!$B$9))+'Hypothèses &amp; sources'!$B$6*(G51/5*100)+'Hypothèses &amp; sources'!$B$7*(H51/5*100)+'Hypothèses &amp; sources'!$B$8*MAX(0,MIN(100,'Hypothèses &amp; sources'!$B$12-E51*'Hypothèses &amp; sources'!$B$11))-T51)</x:f>
        <x:v>70.104</x:v>
      </x:c>
      <x:c r="T51" s="33" t="n">
        <x:v>10</x:v>
      </x:c>
    </x:row>
    <x:row r="52">
      <x:c r="A52" s="33" t="n">
        <x:v>48</x:v>
      </x:c>
      <x:c r="B52" s="38" t="str">
        <x:v>Green beans and potatoes</x:v>
      </x:c>
      <x:c r="C52" s="38" t="str">
        <x:v>Plat complet</x:v>
      </x:c>
      <x:c r="D52" s="38" t="str">
        <x:v>pommes de terre, légumineuses, haricots verts</x:v>
      </x:c>
      <x:c r="E52" s="33" t="n">
        <x:v>20</x:v>
      </x:c>
      <x:c r="F52" s="33" t="n">
        <x:v>40</x:v>
      </x:c>
      <x:c r="G52" s="56" t="n">
        <x:v>4.5</x:v>
      </x:c>
      <x:c r="H52" s="56" t="n">
        <x:v>3.6</x:v>
      </x:c>
      <x:c r="I52" s="33" t="n">
        <x:v>0</x:v>
      </x:c>
      <x:c r="J52" s="57" t="n">
        <x:v>6.1</x:v>
      </x:c>
      <x:c r="K52" s="57" t="n">
        <x:f>J52*'Hypothèses &amp; sources'!$E$4</x:f>
        <x:v>6.1</x:v>
      </x:c>
      <x:c r="L52" s="57" t="n">
        <x:f>J52*'Hypothèses &amp; sources'!$F$4</x:f>
        <x:v>6.466</x:v>
      </x:c>
      <x:c r="M52" s="57" t="n">
        <x:f>J52*'Hypothèses &amp; sources'!$G$4</x:f>
        <x:v>6.71</x:v>
      </x:c>
      <x:c r="N52" s="57" t="n">
        <x:f>J52*'Hypothèses &amp; sources'!$H$4</x:f>
        <x:v>6.771</x:v>
      </x:c>
      <x:c r="O52" s="57" t="n">
        <x:f>J52*'Hypothèses &amp; sources'!$I$4</x:f>
        <x:v>7.563999999999999</x:v>
      </x:c>
      <x:c r="P52" s="57" t="str">
        <x:v>Lidl</x:v>
      </x:c>
      <x:c r="Q52" s="57" t="n">
        <x:f>IF(P52="Lidl",K52,IF(P52="Super U",L52,IF(P52="Carrefour",M52,IF(P52="Auchan",N52,O52))))</x:f>
        <x:v>6.1</x:v>
      </x:c>
      <x:c r="R52" s="57" t="n">
        <x:f>Q52/'Hypothèses &amp; sources'!$B$4</x:f>
        <x:v>1.525</x:v>
      </x:c>
      <x:c r="S52" s="56" t="n">
        <x:f>MAX(0,'Hypothèses &amp; sources'!$B$5*MAX(0,MIN(100,'Hypothèses &amp; sources'!$B$10-R52*'Hypothèses &amp; sources'!$B$9))+'Hypothèses &amp; sources'!$B$6*(G52/5*100)+'Hypothèses &amp; sources'!$B$7*(H52/5*100)+'Hypothèses &amp; sources'!$B$8*MAX(0,MIN(100,'Hypothèses &amp; sources'!$B$12-E52*'Hypothèses &amp; sources'!$B$11))-T52)</x:f>
        <x:v>84.59400000000001</x:v>
      </x:c>
      <x:c r="T52" s="33" t="n">
        <x:v>0</x:v>
      </x:c>
    </x:row>
    <x:row r="53">
      <x:c r="A53" s="33" t="n">
        <x:v>49</x:v>
      </x:c>
      <x:c r="B53" s="38" t="str">
        <x:v>Riz jollof</x:v>
      </x:c>
      <x:c r="C53" s="38" t="str">
        <x:v>Riz / accompagnement</x:v>
      </x:c>
      <x:c r="D53" s="38" t="str">
        <x:v>riz, tomates, poivron, oignon, bouillon, épices</x:v>
      </x:c>
      <x:c r="E53" s="33" t="n">
        <x:v>20</x:v>
      </x:c>
      <x:c r="F53" s="33" t="n">
        <x:v>45</x:v>
      </x:c>
      <x:c r="G53" s="56" t="n">
        <x:v>3.8</x:v>
      </x:c>
      <x:c r="H53" s="56" t="n">
        <x:v>4</x:v>
      </x:c>
      <x:c r="I53" s="33" t="n">
        <x:v>1</x:v>
      </x:c>
      <x:c r="J53" s="57" t="n">
        <x:v>5.8</x:v>
      </x:c>
      <x:c r="K53" s="57" t="n">
        <x:f>J53*'Hypothèses &amp; sources'!$E$4</x:f>
        <x:v>5.8</x:v>
      </x:c>
      <x:c r="L53" s="57" t="n">
        <x:f>J53*'Hypothèses &amp; sources'!$F$4</x:f>
        <x:v>6.148</x:v>
      </x:c>
      <x:c r="M53" s="57" t="n">
        <x:f>J53*'Hypothèses &amp; sources'!$G$4</x:f>
        <x:v>6.38</x:v>
      </x:c>
      <x:c r="N53" s="57" t="n">
        <x:f>J53*'Hypothèses &amp; sources'!$H$4</x:f>
        <x:v>6.438000000000001</x:v>
      </x:c>
      <x:c r="O53" s="57" t="n">
        <x:f>J53*'Hypothèses &amp; sources'!$I$4</x:f>
        <x:v>7.192</x:v>
      </x:c>
      <x:c r="P53" s="57" t="str">
        <x:v>Super U</x:v>
      </x:c>
      <x:c r="Q53" s="57" t="n">
        <x:f>IF(P53="Lidl",K53,IF(P53="Super U",L53,IF(P53="Carrefour",M53,IF(P53="Auchan",N53,O53))))</x:f>
        <x:v>6.148</x:v>
      </x:c>
      <x:c r="R53" s="57" t="n">
        <x:f>Q53/'Hypothèses &amp; sources'!$B$4</x:f>
        <x:v>1.537</x:v>
      </x:c>
      <x:c r="S53" s="56" t="n">
        <x:f>MAX(0,'Hypothèses &amp; sources'!$B$5*MAX(0,MIN(100,'Hypothèses &amp; sources'!$B$10-R53*'Hypothèses &amp; sources'!$B$9))+'Hypothèses &amp; sources'!$B$6*(G53/5*100)+'Hypothèses &amp; sources'!$B$7*(H53/5*100)+'Hypothèses &amp; sources'!$B$8*MAX(0,MIN(100,'Hypothèses &amp; sources'!$B$12-E53*'Hypothèses &amp; sources'!$B$11))-T53)</x:f>
        <x:v>74.05352</x:v>
      </x:c>
      <x:c r="T53" s="33" t="n">
        <x:v>8</x:v>
      </x:c>
    </x:row>
    <x:row r="54">
      <x:c r="A54" s="33" t="n">
        <x:v>50</x:v>
      </x:c>
      <x:c r="B54" s="38" t="str">
        <x:v>Gajar ka halwa/carrot with raisins</x:v>
      </x:c>
      <x:c r="C54" s="38" t="str">
        <x:v>Dessert</x:v>
      </x:c>
      <x:c r="D54" s="38" t="str">
        <x:v>carottes, lait, sucre, raisins, beurre</x:v>
      </x:c>
      <x:c r="E54" s="33" t="n">
        <x:v>20</x:v>
      </x:c>
      <x:c r="F54" s="33" t="n">
        <x:v>45</x:v>
      </x:c>
      <x:c r="G54" s="56" t="n">
        <x:v>3</x:v>
      </x:c>
      <x:c r="H54" s="56" t="n">
        <x:v>2.5</x:v>
      </x:c>
      <x:c r="I54" s="33" t="n">
        <x:v>1</x:v>
      </x:c>
      <x:c r="J54" s="57" t="n">
        <x:v>6</x:v>
      </x:c>
      <x:c r="K54" s="57" t="n">
        <x:f>J54*'Hypothèses &amp; sources'!$E$4</x:f>
        <x:v>6</x:v>
      </x:c>
      <x:c r="L54" s="57" t="n">
        <x:f>J54*'Hypothèses &amp; sources'!$F$4</x:f>
        <x:v>6.36</x:v>
      </x:c>
      <x:c r="M54" s="57" t="n">
        <x:f>J54*'Hypothèses &amp; sources'!$G$4</x:f>
        <x:v>6.6000000000000005</x:v>
      </x:c>
      <x:c r="N54" s="57" t="n">
        <x:f>J54*'Hypothèses &amp; sources'!$H$4</x:f>
        <x:v>6.66</x:v>
      </x:c>
      <x:c r="O54" s="57" t="n">
        <x:f>J54*'Hypothèses &amp; sources'!$I$4</x:f>
        <x:v>7.4399999999999995</x:v>
      </x:c>
      <x:c r="P54" s="57" t="str">
        <x:v>Super U</x:v>
      </x:c>
      <x:c r="Q54" s="57" t="n">
        <x:f>IF(P54="Lidl",K54,IF(P54="Super U",L54,IF(P54="Carrefour",M54,IF(P54="Auchan",N54,O54))))</x:f>
        <x:v>6.36</x:v>
      </x:c>
      <x:c r="R54" s="57" t="n">
        <x:f>Q54/'Hypothèses &amp; sources'!$B$4</x:f>
        <x:v>1.59</x:v>
      </x:c>
      <x:c r="S54" s="56" t="n">
        <x:f>MAX(0,'Hypothèses &amp; sources'!$B$5*MAX(0,MIN(100,'Hypothèses &amp; sources'!$B$10-R54*'Hypothèses &amp; sources'!$B$9))+'Hypothèses &amp; sources'!$B$6*(G54/5*100)+'Hypothèses &amp; sources'!$B$7*(H54/5*100)+'Hypothèses &amp; sources'!$B$8*MAX(0,MIN(100,'Hypothèses &amp; sources'!$B$12-E54*'Hypothèses &amp; sources'!$B$11))-T54)</x:f>
        <x:v>59.906400000000005</x:v>
      </x:c>
      <x:c r="T54" s="33" t="n">
        <x:v>12</x:v>
      </x:c>
    </x:row>
    <x:row r="55">
      <x:c r="A55" s="33" t="n">
        <x:v>51</x:v>
      </x:c>
      <x:c r="B55" s="38" t="str">
        <x:v>Casserole de thon</x:v>
      </x:c>
      <x:c r="C55" s="38" t="str">
        <x:v>Gratin / farci</x:v>
      </x:c>
      <x:c r="D55" s="38" t="str">
        <x:v>thon en conserve</x:v>
      </x:c>
      <x:c r="E55" s="33" t="n">
        <x:v>25</x:v>
      </x:c>
      <x:c r="F55" s="33" t="n">
        <x:v>55</x:v>
      </x:c>
      <x:c r="G55" s="56" t="n">
        <x:v>3.8</x:v>
      </x:c>
      <x:c r="H55" s="56" t="n">
        <x:v>3.5</x:v>
      </x:c>
      <x:c r="I55" s="33" t="n">
        <x:v>0</x:v>
      </x:c>
      <x:c r="J55" s="57" t="n">
        <x:v>6.4</x:v>
      </x:c>
      <x:c r="K55" s="57" t="n">
        <x:f>J55*'Hypothèses &amp; sources'!$E$4</x:f>
        <x:v>6.4</x:v>
      </x:c>
      <x:c r="L55" s="57" t="n">
        <x:f>J55*'Hypothèses &amp; sources'!$F$4</x:f>
        <x:v>6.784000000000001</x:v>
      </x:c>
      <x:c r="M55" s="57" t="n">
        <x:f>J55*'Hypothèses &amp; sources'!$G$4</x:f>
        <x:v>7.040000000000001</x:v>
      </x:c>
      <x:c r="N55" s="57" t="n">
        <x:f>J55*'Hypothèses &amp; sources'!$H$4</x:f>
        <x:v>7.104000000000001</x:v>
      </x:c>
      <x:c r="O55" s="57" t="n">
        <x:f>J55*'Hypothèses &amp; sources'!$I$4</x:f>
        <x:v>7.936</x:v>
      </x:c>
      <x:c r="P55" s="57" t="str">
        <x:v>Lidl</x:v>
      </x:c>
      <x:c r="Q55" s="57" t="n">
        <x:f>IF(P55="Lidl",K55,IF(P55="Super U",L55,IF(P55="Carrefour",M55,IF(P55="Auchan",N55,O55))))</x:f>
        <x:v>6.4</x:v>
      </x:c>
      <x:c r="R55" s="57" t="n">
        <x:f>Q55/'Hypothèses &amp; sources'!$B$4</x:f>
        <x:v>1.6</x:v>
      </x:c>
      <x:c r="S55" s="56" t="n">
        <x:f>MAX(0,'Hypothèses &amp; sources'!$B$5*MAX(0,MIN(100,'Hypothèses &amp; sources'!$B$10-R55*'Hypothèses &amp; sources'!$B$9))+'Hypothèses &amp; sources'!$B$6*(G55/5*100)+'Hypothèses &amp; sources'!$B$7*(H55/5*100)+'Hypothèses &amp; sources'!$B$8*MAX(0,MIN(100,'Hypothèses &amp; sources'!$B$12-E55*'Hypothèses &amp; sources'!$B$11))-T55)</x:f>
        <x:v>78.61599999999999</x:v>
      </x:c>
      <x:c r="T55" s="33" t="n">
        <x:v>0</x:v>
      </x:c>
    </x:row>
    <x:row r="56">
      <x:c r="A56" s="33" t="n">
        <x:v>52</x:v>
      </x:c>
      <x:c r="B56" s="38" t="str">
        <x:v>Macaroni and cheese</x:v>
      </x:c>
      <x:c r="C56" s="38" t="str">
        <x:v>Pâtes / fromage</x:v>
      </x:c>
      <x:c r="D56" s="38" t="str">
        <x:v>macaroni, cheddar, lait, beurre, farine, moutarde</x:v>
      </x:c>
      <x:c r="E56" s="33" t="n">
        <x:v>15</x:v>
      </x:c>
      <x:c r="F56" s="33" t="n">
        <x:v>30</x:v>
      </x:c>
      <x:c r="G56" s="56" t="n">
        <x:v>4.3</x:v>
      </x:c>
      <x:c r="H56" s="56" t="n">
        <x:v>2.4</x:v>
      </x:c>
      <x:c r="I56" s="33" t="n">
        <x:v>0</x:v>
      </x:c>
      <x:c r="J56" s="57" t="n">
        <x:v>6.5</x:v>
      </x:c>
      <x:c r="K56" s="57" t="n">
        <x:f>J56*'Hypothèses &amp; sources'!$E$4</x:f>
        <x:v>6.5</x:v>
      </x:c>
      <x:c r="L56" s="57" t="n">
        <x:f>J56*'Hypothèses &amp; sources'!$F$4</x:f>
        <x:v>6.890000000000001</x:v>
      </x:c>
      <x:c r="M56" s="57" t="n">
        <x:f>J56*'Hypothèses &amp; sources'!$G$4</x:f>
        <x:v>7.15</x:v>
      </x:c>
      <x:c r="N56" s="57" t="n">
        <x:f>J56*'Hypothèses &amp; sources'!$H$4</x:f>
        <x:v>7.215000000000001</x:v>
      </x:c>
      <x:c r="O56" s="57" t="n">
        <x:f>J56*'Hypothèses &amp; sources'!$I$4</x:f>
        <x:v>8.06</x:v>
      </x:c>
      <x:c r="P56" s="57" t="str">
        <x:v>Lidl</x:v>
      </x:c>
      <x:c r="Q56" s="57" t="n">
        <x:f>IF(P56="Lidl",K56,IF(P56="Super U",L56,IF(P56="Carrefour",M56,IF(P56="Auchan",N56,O56))))</x:f>
        <x:v>6.5</x:v>
      </x:c>
      <x:c r="R56" s="57" t="n">
        <x:f>Q56/'Hypothèses &amp; sources'!$B$4</x:f>
        <x:v>1.625</x:v>
      </x:c>
      <x:c r="S56" s="56" t="n">
        <x:f>MAX(0,'Hypothèses &amp; sources'!$B$5*MAX(0,MIN(100,'Hypothèses &amp; sources'!$B$10-R56*'Hypothèses &amp; sources'!$B$9))+'Hypothèses &amp; sources'!$B$6*(G56/5*100)+'Hypothèses &amp; sources'!$B$7*(H56/5*100)+'Hypothèses &amp; sources'!$B$8*MAX(0,MIN(100,'Hypothèses &amp; sources'!$B$12-E56*'Hypothèses &amp; sources'!$B$11))-T56)</x:f>
        <x:v>79.97</x:v>
      </x:c>
      <x:c r="T56" s="33" t="n">
        <x:v>0</x:v>
      </x:c>
    </x:row>
    <x:row r="57">
      <x:c r="A57" s="33" t="n">
        <x:v>53</x:v>
      </x:c>
      <x:c r="B57" s="38" t="str">
        <x:v>Tomato soup with basil and parmesan</x:v>
      </x:c>
      <x:c r="C57" s="38" t="str">
        <x:v>Soupe / bouillon</x:v>
      </x:c>
      <x:c r="D57" s="38" t="str">
        <x:v>bouillon, oignon, tomates, crème / fromage</x:v>
      </x:c>
      <x:c r="E57" s="33" t="n">
        <x:v>15</x:v>
      </x:c>
      <x:c r="F57" s="33" t="n">
        <x:v>35</x:v>
      </x:c>
      <x:c r="G57" s="56" t="n">
        <x:v>3.5</x:v>
      </x:c>
      <x:c r="H57" s="56" t="n">
        <x:v>3.2</x:v>
      </x:c>
      <x:c r="I57" s="33" t="n">
        <x:v>0</x:v>
      </x:c>
      <x:c r="J57" s="57" t="n">
        <x:v>6.5</x:v>
      </x:c>
      <x:c r="K57" s="57" t="n">
        <x:f>J57*'Hypothèses &amp; sources'!$E$4</x:f>
        <x:v>6.5</x:v>
      </x:c>
      <x:c r="L57" s="57" t="n">
        <x:f>J57*'Hypothèses &amp; sources'!$F$4</x:f>
        <x:v>6.890000000000001</x:v>
      </x:c>
      <x:c r="M57" s="57" t="n">
        <x:f>J57*'Hypothèses &amp; sources'!$G$4</x:f>
        <x:v>7.15</x:v>
      </x:c>
      <x:c r="N57" s="57" t="n">
        <x:f>J57*'Hypothèses &amp; sources'!$H$4</x:f>
        <x:v>7.215000000000001</x:v>
      </x:c>
      <x:c r="O57" s="57" t="n">
        <x:f>J57*'Hypothèses &amp; sources'!$I$4</x:f>
        <x:v>8.06</x:v>
      </x:c>
      <x:c r="P57" s="57" t="str">
        <x:v>Lidl</x:v>
      </x:c>
      <x:c r="Q57" s="57" t="n">
        <x:f>IF(P57="Lidl",K57,IF(P57="Super U",L57,IF(P57="Carrefour",M57,IF(P57="Auchan",N57,O57))))</x:f>
        <x:v>6.5</x:v>
      </x:c>
      <x:c r="R57" s="57" t="n">
        <x:f>Q57/'Hypothèses &amp; sources'!$B$4</x:f>
        <x:v>1.625</x:v>
      </x:c>
      <x:c r="S57" s="56" t="n">
        <x:f>MAX(0,'Hypothèses &amp; sources'!$B$5*MAX(0,MIN(100,'Hypothèses &amp; sources'!$B$10-R57*'Hypothèses &amp; sources'!$B$9))+'Hypothèses &amp; sources'!$B$6*(G57/5*100)+'Hypothèses &amp; sources'!$B$7*(H57/5*100)+'Hypothèses &amp; sources'!$B$8*MAX(0,MIN(100,'Hypothèses &amp; sources'!$B$12-E57*'Hypothèses &amp; sources'!$B$11))-T57)</x:f>
        <x:v>78.36999999999999</x:v>
      </x:c>
      <x:c r="T57" s="33" t="n">
        <x:v>0</x:v>
      </x:c>
    </x:row>
    <x:row r="58">
      <x:c r="A58" s="33" t="n">
        <x:v>54</x:v>
      </x:c>
      <x:c r="B58" s="38" t="str">
        <x:v>Creamy queso</x:v>
      </x:c>
      <x:c r="C58" s="38" t="str">
        <x:v>Apéritif / tartinade</x:v>
      </x:c>
      <x:c r="D58" s="38" t="str">
        <x:v>fromage, lait ou crème, piment, tomate</x:v>
      </x:c>
      <x:c r="E58" s="33" t="n">
        <x:v>10</x:v>
      </x:c>
      <x:c r="F58" s="33" t="n">
        <x:v>15</x:v>
      </x:c>
      <x:c r="G58" s="56" t="n">
        <x:v>2.8</x:v>
      </x:c>
      <x:c r="H58" s="56" t="n">
        <x:v>2</x:v>
      </x:c>
      <x:c r="I58" s="33" t="n">
        <x:v>0</x:v>
      </x:c>
      <x:c r="J58" s="57" t="n">
        <x:v>6.5</x:v>
      </x:c>
      <x:c r="K58" s="57" t="n">
        <x:f>J58*'Hypothèses &amp; sources'!$E$4</x:f>
        <x:v>6.5</x:v>
      </x:c>
      <x:c r="L58" s="57" t="n">
        <x:f>J58*'Hypothèses &amp; sources'!$F$4</x:f>
        <x:v>6.890000000000001</x:v>
      </x:c>
      <x:c r="M58" s="57" t="n">
        <x:f>J58*'Hypothèses &amp; sources'!$G$4</x:f>
        <x:v>7.15</x:v>
      </x:c>
      <x:c r="N58" s="57" t="n">
        <x:f>J58*'Hypothèses &amp; sources'!$H$4</x:f>
        <x:v>7.215000000000001</x:v>
      </x:c>
      <x:c r="O58" s="57" t="n">
        <x:f>J58*'Hypothèses &amp; sources'!$I$4</x:f>
        <x:v>8.06</x:v>
      </x:c>
      <x:c r="P58" s="57" t="str">
        <x:v>Lidl</x:v>
      </x:c>
      <x:c r="Q58" s="57" t="n">
        <x:f>IF(P58="Lidl",K58,IF(P58="Super U",L58,IF(P58="Carrefour",M58,IF(P58="Auchan",N58,O58))))</x:f>
        <x:v>6.5</x:v>
      </x:c>
      <x:c r="R58" s="57" t="n">
        <x:f>Q58/'Hypothèses &amp; sources'!$B$4</x:f>
        <x:v>1.625</x:v>
      </x:c>
      <x:c r="S58" s="56" t="n">
        <x:f>MAX(0,'Hypothèses &amp; sources'!$B$5*MAX(0,MIN(100,'Hypothèses &amp; sources'!$B$10-R58*'Hypothèses &amp; sources'!$B$9))+'Hypothèses &amp; sources'!$B$6*(G58/5*100)+'Hypothèses &amp; sources'!$B$7*(H58/5*100)+'Hypothèses &amp; sources'!$B$8*MAX(0,MIN(100,'Hypothèses &amp; sources'!$B$12-E58*'Hypothèses &amp; sources'!$B$11))-T58)</x:f>
        <x:v>61.45</x:v>
      </x:c>
      <x:c r="T58" s="33" t="n">
        <x:v>10</x:v>
      </x:c>
    </x:row>
    <x:row r="59">
      <x:c r="A59" s="33" t="n">
        <x:v>55</x:v>
      </x:c>
      <x:c r="B59" s="38" t="str">
        <x:v>Curry de pommes de terre et d'aubergines</x:v>
      </x:c>
      <x:c r="C59" s="38" t="str">
        <x:v>Curry / cuisine épicée</x:v>
      </x:c>
      <x:c r="D59" s="38" t="str">
        <x:v>oignon, ail, gingembre, épices, pommes de terre, aubergine</x:v>
      </x:c>
      <x:c r="E59" s="33" t="n">
        <x:v>25</x:v>
      </x:c>
      <x:c r="F59" s="33" t="n">
        <x:v>55</x:v>
      </x:c>
      <x:c r="G59" s="56" t="n">
        <x:v>3.7</x:v>
      </x:c>
      <x:c r="H59" s="56" t="n">
        <x:v>3.4</x:v>
      </x:c>
      <x:c r="I59" s="33" t="n">
        <x:v>1</x:v>
      </x:c>
      <x:c r="J59" s="57" t="n">
        <x:v>6.2</x:v>
      </x:c>
      <x:c r="K59" s="57" t="n">
        <x:f>J59*'Hypothèses &amp; sources'!$E$4</x:f>
        <x:v>6.2</x:v>
      </x:c>
      <x:c r="L59" s="57" t="n">
        <x:f>J59*'Hypothèses &amp; sources'!$F$4</x:f>
        <x:v>6.572000000000001</x:v>
      </x:c>
      <x:c r="M59" s="57" t="n">
        <x:f>J59*'Hypothèses &amp; sources'!$G$4</x:f>
        <x:v>6.820000000000001</x:v>
      </x:c>
      <x:c r="N59" s="57" t="n">
        <x:f>J59*'Hypothèses &amp; sources'!$H$4</x:f>
        <x:v>6.882000000000001</x:v>
      </x:c>
      <x:c r="O59" s="57" t="n">
        <x:f>J59*'Hypothèses &amp; sources'!$I$4</x:f>
        <x:v>7.688</x:v>
      </x:c>
      <x:c r="P59" s="57" t="str">
        <x:v>Super U</x:v>
      </x:c>
      <x:c r="Q59" s="57" t="n">
        <x:f>IF(P59="Lidl",K59,IF(P59="Super U",L59,IF(P59="Carrefour",M59,IF(P59="Auchan",N59,O59))))</x:f>
        <x:v>6.572000000000001</x:v>
      </x:c>
      <x:c r="R59" s="57" t="n">
        <x:f>Q59/'Hypothèses &amp; sources'!$B$4</x:f>
        <x:v>1.6430000000000002</x:v>
      </x:c>
      <x:c r="S59" s="56" t="n">
        <x:f>MAX(0,'Hypothèses &amp; sources'!$B$5*MAX(0,MIN(100,'Hypothèses &amp; sources'!$B$10-R59*'Hypothèses &amp; sources'!$B$9))+'Hypothèses &amp; sources'!$B$6*(G59/5*100)+'Hypothèses &amp; sources'!$B$7*(H59/5*100)+'Hypothèses &amp; sources'!$B$8*MAX(0,MIN(100,'Hypothèses &amp; sources'!$B$12-E59*'Hypothèses &amp; sources'!$B$11))-T59)</x:f>
        <x:v>77.47927999999999</x:v>
      </x:c>
      <x:c r="T59" s="33" t="n">
        <x:v>0</x:v>
      </x:c>
    </x:row>
    <x:row r="60">
      <x:c r="A60" s="33" t="n">
        <x:v>56</x:v>
      </x:c>
      <x:c r="B60" s="38" t="str">
        <x:v>Vegan bolognese</x:v>
      </x:c>
      <x:c r="C60" s="38" t="str">
        <x:v>Pâtes / végétarien</x:v>
      </x:c>
      <x:c r="D60" s="38" t="str">
        <x:v>lentilles ou protéines végétales, tomates, carotte, céleri, oignon, pâtes</x:v>
      </x:c>
      <x:c r="E60" s="33" t="n">
        <x:v>20</x:v>
      </x:c>
      <x:c r="F60" s="33" t="n">
        <x:v>45</x:v>
      </x:c>
      <x:c r="G60" s="56" t="n">
        <x:v>4.3</x:v>
      </x:c>
      <x:c r="H60" s="56" t="n">
        <x:v>4.5</x:v>
      </x:c>
      <x:c r="I60" s="33" t="n">
        <x:v>0</x:v>
      </x:c>
      <x:c r="J60" s="57" t="n">
        <x:v>6.8</x:v>
      </x:c>
      <x:c r="K60" s="57" t="n">
        <x:f>J60*'Hypothèses &amp; sources'!$E$4</x:f>
        <x:v>6.8</x:v>
      </x:c>
      <x:c r="L60" s="57" t="n">
        <x:f>J60*'Hypothèses &amp; sources'!$F$4</x:f>
        <x:v>7.208</x:v>
      </x:c>
      <x:c r="M60" s="57" t="n">
        <x:f>J60*'Hypothèses &amp; sources'!$G$4</x:f>
        <x:v>7.48</x:v>
      </x:c>
      <x:c r="N60" s="57" t="n">
        <x:f>J60*'Hypothèses &amp; sources'!$H$4</x:f>
        <x:v>7.548</x:v>
      </x:c>
      <x:c r="O60" s="57" t="n">
        <x:f>J60*'Hypothèses &amp; sources'!$I$4</x:f>
        <x:v>8.432</x:v>
      </x:c>
      <x:c r="P60" s="57" t="str">
        <x:v>Lidl</x:v>
      </x:c>
      <x:c r="Q60" s="57" t="n">
        <x:f>IF(P60="Lidl",K60,IF(P60="Super U",L60,IF(P60="Carrefour",M60,IF(P60="Auchan",N60,O60))))</x:f>
        <x:v>6.8</x:v>
      </x:c>
      <x:c r="R60" s="57" t="n">
        <x:f>Q60/'Hypothèses &amp; sources'!$B$4</x:f>
        <x:v>1.7</x:v>
      </x:c>
      <x:c r="S60" s="56" t="n">
        <x:f>MAX(0,'Hypothèses &amp; sources'!$B$5*MAX(0,MIN(100,'Hypothèses &amp; sources'!$B$10-R60*'Hypothèses &amp; sources'!$B$9))+'Hypothèses &amp; sources'!$B$6*(G60/5*100)+'Hypothèses &amp; sources'!$B$7*(H60/5*100)+'Hypothèses &amp; sources'!$B$8*MAX(0,MIN(100,'Hypothèses &amp; sources'!$B$12-E60*'Hypothèses &amp; sources'!$B$11))-T60)</x:f>
        <x:v>85.83200000000001</x:v>
      </x:c>
      <x:c r="T60" s="33" t="n">
        <x:v>0</x:v>
      </x:c>
    </x:row>
    <x:row r="61">
      <x:c r="A61" s="33" t="n">
        <x:v>57</x:v>
      </x:c>
      <x:c r="B61" s="38" t="str">
        <x:v>Makai nu shaak/épis de mais au curry d'arrachides</x:v>
      </x:c>
      <x:c r="C61" s="38" t="str">
        <x:v>Curry / végétarien</x:v>
      </x:c>
      <x:c r="D61" s="38" t="str">
        <x:v>maïs, cacahuètes, tomate, oignon, épices</x:v>
      </x:c>
      <x:c r="E61" s="33" t="n">
        <x:v>20</x:v>
      </x:c>
      <x:c r="F61" s="33" t="n">
        <x:v>40</x:v>
      </x:c>
      <x:c r="G61" s="56" t="n">
        <x:v>4</x:v>
      </x:c>
      <x:c r="H61" s="56" t="n">
        <x:v>4</x:v>
      </x:c>
      <x:c r="I61" s="33" t="n">
        <x:v>1</x:v>
      </x:c>
      <x:c r="J61" s="57" t="n">
        <x:v>6.5</x:v>
      </x:c>
      <x:c r="K61" s="57" t="n">
        <x:f>J61*'Hypothèses &amp; sources'!$E$4</x:f>
        <x:v>6.5</x:v>
      </x:c>
      <x:c r="L61" s="57" t="n">
        <x:f>J61*'Hypothèses &amp; sources'!$F$4</x:f>
        <x:v>6.890000000000001</x:v>
      </x:c>
      <x:c r="M61" s="57" t="n">
        <x:f>J61*'Hypothèses &amp; sources'!$G$4</x:f>
        <x:v>7.15</x:v>
      </x:c>
      <x:c r="N61" s="57" t="n">
        <x:f>J61*'Hypothèses &amp; sources'!$H$4</x:f>
        <x:v>7.215000000000001</x:v>
      </x:c>
      <x:c r="O61" s="57" t="n">
        <x:f>J61*'Hypothèses &amp; sources'!$I$4</x:f>
        <x:v>8.06</x:v>
      </x:c>
      <x:c r="P61" s="57" t="str">
        <x:v>Super U</x:v>
      </x:c>
      <x:c r="Q61" s="57" t="n">
        <x:f>IF(P61="Lidl",K61,IF(P61="Super U",L61,IF(P61="Carrefour",M61,IF(P61="Auchan",N61,O61))))</x:f>
        <x:v>6.890000000000001</x:v>
      </x:c>
      <x:c r="R61" s="57" t="n">
        <x:f>Q61/'Hypothèses &amp; sources'!$B$4</x:f>
        <x:v>1.7225000000000001</x:v>
      </x:c>
      <x:c r="S61" s="56" t="n">
        <x:f>MAX(0,'Hypothèses &amp; sources'!$B$5*MAX(0,MIN(100,'Hypothèses &amp; sources'!$B$10-R61*'Hypothèses &amp; sources'!$B$9))+'Hypothèses &amp; sources'!$B$6*(G61/5*100)+'Hypothèses &amp; sources'!$B$7*(H61/5*100)+'Hypothèses &amp; sources'!$B$8*MAX(0,MIN(100,'Hypothèses &amp; sources'!$B$12-E61*'Hypothèses &amp; sources'!$B$11))-T61)</x:f>
        <x:v>82.2386</x:v>
      </x:c>
      <x:c r="T61" s="33" t="n">
        <x:v>0</x:v>
      </x:c>
    </x:row>
    <x:row r="62">
      <x:c r="A62" s="33" t="n">
        <x:v>58</x:v>
      </x:c>
      <x:c r="B62" s="38" t="str">
        <x:v>Beef bone broth</x:v>
      </x:c>
      <x:c r="C62" s="38" t="str">
        <x:v>Base / bouillon</x:v>
      </x:c>
      <x:c r="D62" s="38" t="str">
        <x:v>os de bœuf, oignon, carotte, céleri, herbes</x:v>
      </x:c>
      <x:c r="E62" s="33" t="n">
        <x:v>15</x:v>
      </x:c>
      <x:c r="F62" s="33" t="n">
        <x:v>180</x:v>
      </x:c>
      <x:c r="G62" s="56" t="n">
        <x:v>1.5</x:v>
      </x:c>
      <x:c r="H62" s="56" t="n">
        <x:v>3.5</x:v>
      </x:c>
      <x:c r="I62" s="33" t="n">
        <x:v>1</x:v>
      </x:c>
      <x:c r="J62" s="57" t="n">
        <x:v>6.5</x:v>
      </x:c>
      <x:c r="K62" s="57" t="n">
        <x:f>J62*'Hypothèses &amp; sources'!$E$4</x:f>
        <x:v>6.5</x:v>
      </x:c>
      <x:c r="L62" s="57" t="n">
        <x:f>J62*'Hypothèses &amp; sources'!$F$4</x:f>
        <x:v>6.890000000000001</x:v>
      </x:c>
      <x:c r="M62" s="57" t="n">
        <x:f>J62*'Hypothèses &amp; sources'!$G$4</x:f>
        <x:v>7.15</x:v>
      </x:c>
      <x:c r="N62" s="57" t="n">
        <x:f>J62*'Hypothèses &amp; sources'!$H$4</x:f>
        <x:v>7.215000000000001</x:v>
      </x:c>
      <x:c r="O62" s="57" t="n">
        <x:f>J62*'Hypothèses &amp; sources'!$I$4</x:f>
        <x:v>8.06</x:v>
      </x:c>
      <x:c r="P62" s="57" t="str">
        <x:v>Super U</x:v>
      </x:c>
      <x:c r="Q62" s="57" t="n">
        <x:f>IF(P62="Lidl",K62,IF(P62="Super U",L62,IF(P62="Carrefour",M62,IF(P62="Auchan",N62,O62))))</x:f>
        <x:v>6.890000000000001</x:v>
      </x:c>
      <x:c r="R62" s="57" t="n">
        <x:f>Q62/'Hypothèses &amp; sources'!$B$4</x:f>
        <x:v>1.7225000000000001</x:v>
      </x:c>
      <x:c r="S62" s="56" t="n">
        <x:f>MAX(0,'Hypothèses &amp; sources'!$B$5*MAX(0,MIN(100,'Hypothèses &amp; sources'!$B$10-R62*'Hypothèses &amp; sources'!$B$9))+'Hypothèses &amp; sources'!$B$6*(G62/5*100)+'Hypothèses &amp; sources'!$B$7*(H62/5*100)+'Hypothèses &amp; sources'!$B$8*MAX(0,MIN(100,'Hypothèses &amp; sources'!$B$12-E62*'Hypothèses &amp; sources'!$B$11))-T62)</x:f>
        <x:v>49.7586</x:v>
      </x:c>
      <x:c r="T62" s="33" t="n">
        <x:v>18</x:v>
      </x:c>
    </x:row>
    <x:row r="63">
      <x:c r="A63" s="33" t="n">
        <x:v>59</x:v>
      </x:c>
      <x:c r="B63" s="38" t="str">
        <x:v>Haricots ivres</x:v>
      </x:c>
      <x:c r="C63" s="38" t="str">
        <x:v>Légumineuses</x:v>
      </x:c>
      <x:c r="D63" s="38" t="str">
        <x:v>haricots, bière, bacon, oignon, tomate, épices</x:v>
      </x:c>
      <x:c r="E63" s="33" t="n">
        <x:v>15</x:v>
      </x:c>
      <x:c r="F63" s="33" t="n">
        <x:v>45</x:v>
      </x:c>
      <x:c r="G63" s="56" t="n">
        <x:v>4.5</x:v>
      </x:c>
      <x:c r="H63" s="56" t="n">
        <x:v>3.5</x:v>
      </x:c>
      <x:c r="I63" s="33" t="n">
        <x:v>0</x:v>
      </x:c>
      <x:c r="J63" s="57" t="n">
        <x:v>7</x:v>
      </x:c>
      <x:c r="K63" s="57" t="n">
        <x:f>J63*'Hypothèses &amp; sources'!$E$4</x:f>
        <x:v>7</x:v>
      </x:c>
      <x:c r="L63" s="57" t="n">
        <x:f>J63*'Hypothèses &amp; sources'!$F$4</x:f>
        <x:v>7.42</x:v>
      </x:c>
      <x:c r="M63" s="57" t="n">
        <x:f>J63*'Hypothèses &amp; sources'!$G$4</x:f>
        <x:v>7.700000000000001</x:v>
      </x:c>
      <x:c r="N63" s="57" t="n">
        <x:f>J63*'Hypothèses &amp; sources'!$H$4</x:f>
        <x:v>7.7700000000000005</x:v>
      </x:c>
      <x:c r="O63" s="57" t="n">
        <x:f>J63*'Hypothèses &amp; sources'!$I$4</x:f>
        <x:v>8.68</x:v>
      </x:c>
      <x:c r="P63" s="57" t="str">
        <x:v>Lidl</x:v>
      </x:c>
      <x:c r="Q63" s="57" t="n">
        <x:f>IF(P63="Lidl",K63,IF(P63="Super U",L63,IF(P63="Carrefour",M63,IF(P63="Auchan",N63,O63))))</x:f>
        <x:v>7</x:v>
      </x:c>
      <x:c r="R63" s="57" t="n">
        <x:f>Q63/'Hypothèses &amp; sources'!$B$4</x:f>
        <x:v>1.75</x:v>
      </x:c>
      <x:c r="S63" s="56" t="n">
        <x:f>MAX(0,'Hypothèses &amp; sources'!$B$5*MAX(0,MIN(100,'Hypothèses &amp; sources'!$B$10-R63*'Hypothèses &amp; sources'!$B$9))+'Hypothèses &amp; sources'!$B$6*(G63/5*100)+'Hypothèses &amp; sources'!$B$7*(H63/5*100)+'Hypothèses &amp; sources'!$B$8*MAX(0,MIN(100,'Hypothèses &amp; sources'!$B$12-E63*'Hypothèses &amp; sources'!$B$11))-T63)</x:f>
        <x:v>84.41999999999999</x:v>
      </x:c>
      <x:c r="T63" s="33" t="n">
        <x:v>0</x:v>
      </x:c>
    </x:row>
    <x:row r="64">
      <x:c r="A64" s="33" t="n">
        <x:v>60</x:v>
      </x:c>
      <x:c r="B64" s="38" t="str">
        <x:v>Beets with goat cheese</x:v>
      </x:c>
      <x:c r="C64" s="38" t="str">
        <x:v>Salade / accompagnement</x:v>
      </x:c>
      <x:c r="D64" s="38" t="str">
        <x:v>betteraves, fromage de chèvre, noix, roquette, vinaigrette</x:v>
      </x:c>
      <x:c r="E64" s="33" t="n">
        <x:v>15</x:v>
      </x:c>
      <x:c r="F64" s="33" t="n">
        <x:v>25</x:v>
      </x:c>
      <x:c r="G64" s="56" t="n">
        <x:v>3.4</x:v>
      </x:c>
      <x:c r="H64" s="56" t="n">
        <x:v>4.2</x:v>
      </x:c>
      <x:c r="I64" s="33" t="n">
        <x:v>0</x:v>
      </x:c>
      <x:c r="J64" s="57" t="n">
        <x:v>7</x:v>
      </x:c>
      <x:c r="K64" s="57" t="n">
        <x:f>J64*'Hypothèses &amp; sources'!$E$4</x:f>
        <x:v>7</x:v>
      </x:c>
      <x:c r="L64" s="57" t="n">
        <x:f>J64*'Hypothèses &amp; sources'!$F$4</x:f>
        <x:v>7.42</x:v>
      </x:c>
      <x:c r="M64" s="57" t="n">
        <x:f>J64*'Hypothèses &amp; sources'!$G$4</x:f>
        <x:v>7.700000000000001</x:v>
      </x:c>
      <x:c r="N64" s="57" t="n">
        <x:f>J64*'Hypothèses &amp; sources'!$H$4</x:f>
        <x:v>7.7700000000000005</x:v>
      </x:c>
      <x:c r="O64" s="57" t="n">
        <x:f>J64*'Hypothèses &amp; sources'!$I$4</x:f>
        <x:v>8.68</x:v>
      </x:c>
      <x:c r="P64" s="57" t="str">
        <x:v>Lidl</x:v>
      </x:c>
      <x:c r="Q64" s="57" t="n">
        <x:f>IF(P64="Lidl",K64,IF(P64="Super U",L64,IF(P64="Carrefour",M64,IF(P64="Auchan",N64,O64))))</x:f>
        <x:v>7</x:v>
      </x:c>
      <x:c r="R64" s="57" t="n">
        <x:f>Q64/'Hypothèses &amp; sources'!$B$4</x:f>
        <x:v>1.75</x:v>
      </x:c>
      <x:c r="S64" s="56" t="n">
        <x:f>MAX(0,'Hypothèses &amp; sources'!$B$5*MAX(0,MIN(100,'Hypothèses &amp; sources'!$B$10-R64*'Hypothèses &amp; sources'!$B$9))+'Hypothèses &amp; sources'!$B$6*(G64/5*100)+'Hypothèses &amp; sources'!$B$7*(H64/5*100)+'Hypothèses &amp; sources'!$B$8*MAX(0,MIN(100,'Hypothèses &amp; sources'!$B$12-E64*'Hypothèses &amp; sources'!$B$11))-T64)</x:f>
        <x:v>75.78</x:v>
      </x:c>
      <x:c r="T64" s="33" t="n">
        <x:v>5</x:v>
      </x:c>
    </x:row>
    <x:row r="65">
      <x:c r="A65" s="33" t="n">
        <x:v>61</x:v>
      </x:c>
      <x:c r="B65" s="38" t="str">
        <x:v>Ramen miso</x:v>
      </x:c>
      <x:c r="C65" s="38" t="str">
        <x:v>Soupe / bouillon</x:v>
      </x:c>
      <x:c r="D65" s="38" t="str">
        <x:v>bouillon, oignon, pâtes / nouilles, miso, algues ou champignons, légumes</x:v>
      </x:c>
      <x:c r="E65" s="33" t="n">
        <x:v>15</x:v>
      </x:c>
      <x:c r="F65" s="33" t="n">
        <x:v>35</x:v>
      </x:c>
      <x:c r="G65" s="56" t="n">
        <x:v>3.5</x:v>
      </x:c>
      <x:c r="H65" s="56" t="n">
        <x:v>3.5</x:v>
      </x:c>
      <x:c r="I65" s="33" t="n">
        <x:v>2</x:v>
      </x:c>
      <x:c r="J65" s="57" t="n">
        <x:v>6.6</x:v>
      </x:c>
      <x:c r="K65" s="57" t="n">
        <x:f>J65*'Hypothèses &amp; sources'!$E$4</x:f>
        <x:v>6.6</x:v>
      </x:c>
      <x:c r="L65" s="57" t="n">
        <x:f>J65*'Hypothèses &amp; sources'!$F$4</x:f>
        <x:v>6.9959999999999996</x:v>
      </x:c>
      <x:c r="M65" s="57" t="n">
        <x:f>J65*'Hypothèses &amp; sources'!$G$4</x:f>
        <x:v>7.26</x:v>
      </x:c>
      <x:c r="N65" s="57" t="n">
        <x:f>J65*'Hypothèses &amp; sources'!$H$4</x:f>
        <x:v>7.3260000000000005</x:v>
      </x:c>
      <x:c r="O65" s="57" t="n">
        <x:f>J65*'Hypothèses &amp; sources'!$I$4</x:f>
        <x:v>8.184</x:v>
      </x:c>
      <x:c r="P65" s="57" t="str">
        <x:v>Carrefour</x:v>
      </x:c>
      <x:c r="Q65" s="57" t="n">
        <x:f>IF(P65="Lidl",K65,IF(P65="Super U",L65,IF(P65="Carrefour",M65,IF(P65="Auchan",N65,O65))))</x:f>
        <x:v>7.26</x:v>
      </x:c>
      <x:c r="R65" s="57" t="n">
        <x:f>Q65/'Hypothèses &amp; sources'!$B$4</x:f>
        <x:v>1.815</x:v>
      </x:c>
      <x:c r="S65" s="56" t="n">
        <x:f>MAX(0,'Hypothèses &amp; sources'!$B$5*MAX(0,MIN(100,'Hypothèses &amp; sources'!$B$10-R65*'Hypothèses &amp; sources'!$B$9))+'Hypothèses &amp; sources'!$B$6*(G65/5*100)+'Hypothèses &amp; sources'!$B$7*(H65/5*100)+'Hypothèses &amp; sources'!$B$8*MAX(0,MIN(100,'Hypothèses &amp; sources'!$B$12-E65*'Hypothèses &amp; sources'!$B$11))-T65)</x:f>
        <x:v>78.49239999999999</x:v>
      </x:c>
      <x:c r="T65" s="33" t="n">
        <x:v>0</x:v>
      </x:c>
    </x:row>
    <x:row r="66">
      <x:c r="A66" s="33" t="n">
        <x:v>62</x:v>
      </x:c>
      <x:c r="B66" s="38" t="str">
        <x:v>Sopa de tortilla/tortilla soup</x:v>
      </x:c>
      <x:c r="C66" s="38" t="str">
        <x:v>Soupe / végétarien</x:v>
      </x:c>
      <x:c r="D66" s="38" t="str">
        <x:v>tomates, bouillon, tortillas, haricots, maïs, avocat</x:v>
      </x:c>
      <x:c r="E66" s="33" t="n">
        <x:v>20</x:v>
      </x:c>
      <x:c r="F66" s="33" t="n">
        <x:v>40</x:v>
      </x:c>
      <x:c r="G66" s="56" t="n">
        <x:v>4</x:v>
      </x:c>
      <x:c r="H66" s="56" t="n">
        <x:v>4.5</x:v>
      </x:c>
      <x:c r="I66" s="33" t="n">
        <x:v>1</x:v>
      </x:c>
      <x:c r="J66" s="57" t="n">
        <x:v>7</x:v>
      </x:c>
      <x:c r="K66" s="57" t="n">
        <x:f>J66*'Hypothèses &amp; sources'!$E$4</x:f>
        <x:v>7</x:v>
      </x:c>
      <x:c r="L66" s="57" t="n">
        <x:f>J66*'Hypothèses &amp; sources'!$F$4</x:f>
        <x:v>7.42</x:v>
      </x:c>
      <x:c r="M66" s="57" t="n">
        <x:f>J66*'Hypothèses &amp; sources'!$G$4</x:f>
        <x:v>7.700000000000001</x:v>
      </x:c>
      <x:c r="N66" s="57" t="n">
        <x:f>J66*'Hypothèses &amp; sources'!$H$4</x:f>
        <x:v>7.7700000000000005</x:v>
      </x:c>
      <x:c r="O66" s="57" t="n">
        <x:f>J66*'Hypothèses &amp; sources'!$I$4</x:f>
        <x:v>8.68</x:v>
      </x:c>
      <x:c r="P66" s="57" t="str">
        <x:v>Super U</x:v>
      </x:c>
      <x:c r="Q66" s="57" t="n">
        <x:f>IF(P66="Lidl",K66,IF(P66="Super U",L66,IF(P66="Carrefour",M66,IF(P66="Auchan",N66,O66))))</x:f>
        <x:v>7.42</x:v>
      </x:c>
      <x:c r="R66" s="57" t="n">
        <x:f>Q66/'Hypothèses &amp; sources'!$B$4</x:f>
        <x:v>1.855</x:v>
      </x:c>
      <x:c r="S66" s="56" t="n">
        <x:f>MAX(0,'Hypothèses &amp; sources'!$B$5*MAX(0,MIN(100,'Hypothèses &amp; sources'!$B$10-R66*'Hypothèses &amp; sources'!$B$9))+'Hypothèses &amp; sources'!$B$6*(G66/5*100)+'Hypothèses &amp; sources'!$B$7*(H66/5*100)+'Hypothèses &amp; sources'!$B$8*MAX(0,MIN(100,'Hypothèses &amp; sources'!$B$12-E66*'Hypothèses &amp; sources'!$B$11))-T66)</x:f>
        <x:v>83.3708</x:v>
      </x:c>
      <x:c r="T66" s="33" t="n">
        <x:v>0</x:v>
      </x:c>
    </x:row>
    <x:row r="67">
      <x:c r="A67" s="33" t="n">
        <x:v>63</x:v>
      </x:c>
      <x:c r="B67" s="38" t="str">
        <x:v>Tinga de chou-fleur</x:v>
      </x:c>
      <x:c r="C67" s="38" t="str">
        <x:v>Tacos / végétarien</x:v>
      </x:c>
      <x:c r="D67" s="38" t="str">
        <x:v>chou-fleur, tomates, chipotle, oignon, tortillas, avocat ou crème</x:v>
      </x:c>
      <x:c r="E67" s="33" t="n">
        <x:v>20</x:v>
      </x:c>
      <x:c r="F67" s="33" t="n">
        <x:v>35</x:v>
      </x:c>
      <x:c r="G67" s="56" t="n">
        <x:v>3.8</x:v>
      </x:c>
      <x:c r="H67" s="56" t="n">
        <x:v>4.2</x:v>
      </x:c>
      <x:c r="I67" s="33" t="n">
        <x:v>1</x:v>
      </x:c>
      <x:c r="J67" s="57" t="n">
        <x:v>7</x:v>
      </x:c>
      <x:c r="K67" s="57" t="n">
        <x:f>J67*'Hypothèses &amp; sources'!$E$4</x:f>
        <x:v>7</x:v>
      </x:c>
      <x:c r="L67" s="57" t="n">
        <x:f>J67*'Hypothèses &amp; sources'!$F$4</x:f>
        <x:v>7.42</x:v>
      </x:c>
      <x:c r="M67" s="57" t="n">
        <x:f>J67*'Hypothèses &amp; sources'!$G$4</x:f>
        <x:v>7.700000000000001</x:v>
      </x:c>
      <x:c r="N67" s="57" t="n">
        <x:f>J67*'Hypothèses &amp; sources'!$H$4</x:f>
        <x:v>7.7700000000000005</x:v>
      </x:c>
      <x:c r="O67" s="57" t="n">
        <x:f>J67*'Hypothèses &amp; sources'!$I$4</x:f>
        <x:v>8.68</x:v>
      </x:c>
      <x:c r="P67" s="57" t="str">
        <x:v>Super U</x:v>
      </x:c>
      <x:c r="Q67" s="57" t="n">
        <x:f>IF(P67="Lidl",K67,IF(P67="Super U",L67,IF(P67="Carrefour",M67,IF(P67="Auchan",N67,O67))))</x:f>
        <x:v>7.42</x:v>
      </x:c>
      <x:c r="R67" s="57" t="n">
        <x:f>Q67/'Hypothèses &amp; sources'!$B$4</x:f>
        <x:v>1.855</x:v>
      </x:c>
      <x:c r="S67" s="56" t="n">
        <x:f>MAX(0,'Hypothèses &amp; sources'!$B$5*MAX(0,MIN(100,'Hypothèses &amp; sources'!$B$10-R67*'Hypothèses &amp; sources'!$B$9))+'Hypothèses &amp; sources'!$B$6*(G67/5*100)+'Hypothèses &amp; sources'!$B$7*(H67/5*100)+'Hypothèses &amp; sources'!$B$8*MAX(0,MIN(100,'Hypothèses &amp; sources'!$B$12-E67*'Hypothèses &amp; sources'!$B$11))-T67)</x:f>
        <x:v>81.1708</x:v>
      </x:c>
      <x:c r="T67" s="33" t="n">
        <x:v>0</x:v>
      </x:c>
    </x:row>
    <x:row r="68">
      <x:c r="A68" s="33" t="n">
        <x:v>64</x:v>
      </x:c>
      <x:c r="B68" s="38" t="str">
        <x:v>Soupe de mais mexicaine de rue</x:v>
      </x:c>
      <x:c r="C68" s="38" t="str">
        <x:v>Soupe / végétarien</x:v>
      </x:c>
      <x:c r="D68" s="38" t="str">
        <x:v>maïs, pommes de terre, bouillon, crème, fromage, citron vert</x:v>
      </x:c>
      <x:c r="E68" s="33" t="n">
        <x:v>15</x:v>
      </x:c>
      <x:c r="F68" s="33" t="n">
        <x:v>40</x:v>
      </x:c>
      <x:c r="G68" s="56" t="n">
        <x:v>4</x:v>
      </x:c>
      <x:c r="H68" s="56" t="n">
        <x:v>3.5</x:v>
      </x:c>
      <x:c r="I68" s="33" t="n">
        <x:v>1</x:v>
      </x:c>
      <x:c r="J68" s="57" t="n">
        <x:v>7</x:v>
      </x:c>
      <x:c r="K68" s="57" t="n">
        <x:f>J68*'Hypothèses &amp; sources'!$E$4</x:f>
        <x:v>7</x:v>
      </x:c>
      <x:c r="L68" s="57" t="n">
        <x:f>J68*'Hypothèses &amp; sources'!$F$4</x:f>
        <x:v>7.42</x:v>
      </x:c>
      <x:c r="M68" s="57" t="n">
        <x:f>J68*'Hypothèses &amp; sources'!$G$4</x:f>
        <x:v>7.700000000000001</x:v>
      </x:c>
      <x:c r="N68" s="57" t="n">
        <x:f>J68*'Hypothèses &amp; sources'!$H$4</x:f>
        <x:v>7.7700000000000005</x:v>
      </x:c>
      <x:c r="O68" s="57" t="n">
        <x:f>J68*'Hypothèses &amp; sources'!$I$4</x:f>
        <x:v>8.68</x:v>
      </x:c>
      <x:c r="P68" s="57" t="str">
        <x:v>Super U</x:v>
      </x:c>
      <x:c r="Q68" s="57" t="n">
        <x:f>IF(P68="Lidl",K68,IF(P68="Super U",L68,IF(P68="Carrefour",M68,IF(P68="Auchan",N68,O68))))</x:f>
        <x:v>7.42</x:v>
      </x:c>
      <x:c r="R68" s="57" t="n">
        <x:f>Q68/'Hypothèses &amp; sources'!$B$4</x:f>
        <x:v>1.855</x:v>
      </x:c>
      <x:c r="S68" s="56" t="n">
        <x:f>MAX(0,'Hypothèses &amp; sources'!$B$5*MAX(0,MIN(100,'Hypothèses &amp; sources'!$B$10-R68*'Hypothèses &amp; sources'!$B$9))+'Hypothèses &amp; sources'!$B$6*(G68/5*100)+'Hypothèses &amp; sources'!$B$7*(H68/5*100)+'Hypothèses &amp; sources'!$B$8*MAX(0,MIN(100,'Hypothèses &amp; sources'!$B$12-E68*'Hypothèses &amp; sources'!$B$11))-T68)</x:f>
        <x:v>81.09079999999999</x:v>
      </x:c>
      <x:c r="T68" s="33" t="n">
        <x:v>0</x:v>
      </x:c>
    </x:row>
    <x:row r="69">
      <x:c r="A69" s="33" t="n">
        <x:v>65</x:v>
      </x:c>
      <x:c r="B69" s="38" t="str">
        <x:v>Butternut squash risotto</x:v>
      </x:c>
      <x:c r="C69" s="38" t="str">
        <x:v>Riz / végétarien</x:v>
      </x:c>
      <x:c r="D69" s="38" t="str">
        <x:v>riz arborio, butternut, bouillon, parmesan, oignon</x:v>
      </x:c>
      <x:c r="E69" s="33" t="n">
        <x:v>20</x:v>
      </x:c>
      <x:c r="F69" s="33" t="n">
        <x:v>40</x:v>
      </x:c>
      <x:c r="G69" s="56" t="n">
        <x:v>4.2</x:v>
      </x:c>
      <x:c r="H69" s="56" t="n">
        <x:v>3.8</x:v>
      </x:c>
      <x:c r="I69" s="33" t="n">
        <x:v>0</x:v>
      </x:c>
      <x:c r="J69" s="57" t="n">
        <x:v>7.5</x:v>
      </x:c>
      <x:c r="K69" s="57" t="n">
        <x:f>J69*'Hypothèses &amp; sources'!$E$4</x:f>
        <x:v>7.5</x:v>
      </x:c>
      <x:c r="L69" s="57" t="n">
        <x:f>J69*'Hypothèses &amp; sources'!$F$4</x:f>
        <x:v>7.95</x:v>
      </x:c>
      <x:c r="M69" s="57" t="n">
        <x:f>J69*'Hypothèses &amp; sources'!$G$4</x:f>
        <x:v>8.25</x:v>
      </x:c>
      <x:c r="N69" s="57" t="n">
        <x:f>J69*'Hypothèses &amp; sources'!$H$4</x:f>
        <x:v>8.325000000000001</x:v>
      </x:c>
      <x:c r="O69" s="57" t="n">
        <x:f>J69*'Hypothèses &amp; sources'!$I$4</x:f>
        <x:v>9.3</x:v>
      </x:c>
      <x:c r="P69" s="57" t="str">
        <x:v>Lidl</x:v>
      </x:c>
      <x:c r="Q69" s="57" t="n">
        <x:f>IF(P69="Lidl",K69,IF(P69="Super U",L69,IF(P69="Carrefour",M69,IF(P69="Auchan",N69,O69))))</x:f>
        <x:v>7.5</x:v>
      </x:c>
      <x:c r="R69" s="57" t="n">
        <x:f>Q69/'Hypothèses &amp; sources'!$B$4</x:f>
        <x:v>1.875</x:v>
      </x:c>
      <x:c r="S69" s="56" t="n">
        <x:f>MAX(0,'Hypothèses &amp; sources'!$B$5*MAX(0,MIN(100,'Hypothèses &amp; sources'!$B$10-R69*'Hypothèses &amp; sources'!$B$9))+'Hypothèses &amp; sources'!$B$6*(G69/5*100)+'Hypothèses &amp; sources'!$B$7*(H69/5*100)+'Hypothèses &amp; sources'!$B$8*MAX(0,MIN(100,'Hypothèses &amp; sources'!$B$12-E69*'Hypothèses &amp; sources'!$B$11))-T69)</x:f>
        <x:v>81.87000000000002</x:v>
      </x:c>
      <x:c r="T69" s="33" t="n">
        <x:v>0</x:v>
      </x:c>
    </x:row>
    <x:row r="70">
      <x:c r="A70" s="33" t="n">
        <x:v>66</x:v>
      </x:c>
      <x:c r="B70" s="38" t="str">
        <x:v>Poitrine de dinde au paprika</x:v>
      </x:c>
      <x:c r="C70" s="38" t="str">
        <x:v>Plat complet</x:v>
      </x:c>
      <x:c r="D70" s="38" t="str">
        <x:v>dinde</x:v>
      </x:c>
      <x:c r="E70" s="33" t="n">
        <x:v>20</x:v>
      </x:c>
      <x:c r="F70" s="33" t="n">
        <x:v>40</x:v>
      </x:c>
      <x:c r="G70" s="56" t="n">
        <x:v>3.9</x:v>
      </x:c>
      <x:c r="H70" s="56" t="n">
        <x:v>3.5</x:v>
      </x:c>
      <x:c r="I70" s="33" t="n">
        <x:v>0</x:v>
      </x:c>
      <x:c r="J70" s="57" t="n">
        <x:v>7.7</x:v>
      </x:c>
      <x:c r="K70" s="57" t="n">
        <x:f>J70*'Hypothèses &amp; sources'!$E$4</x:f>
        <x:v>7.7</x:v>
      </x:c>
      <x:c r="L70" s="57" t="n">
        <x:f>J70*'Hypothèses &amp; sources'!$F$4</x:f>
        <x:v>8.162</x:v>
      </x:c>
      <x:c r="M70" s="57" t="n">
        <x:f>J70*'Hypothèses &amp; sources'!$G$4</x:f>
        <x:v>8.47</x:v>
      </x:c>
      <x:c r="N70" s="57" t="n">
        <x:f>J70*'Hypothèses &amp; sources'!$H$4</x:f>
        <x:v>8.547</x:v>
      </x:c>
      <x:c r="O70" s="57" t="n">
        <x:f>J70*'Hypothèses &amp; sources'!$I$4</x:f>
        <x:v>9.548</x:v>
      </x:c>
      <x:c r="P70" s="57" t="str">
        <x:v>Lidl</x:v>
      </x:c>
      <x:c r="Q70" s="57" t="n">
        <x:f>IF(P70="Lidl",K70,IF(P70="Super U",L70,IF(P70="Carrefour",M70,IF(P70="Auchan",N70,O70))))</x:f>
        <x:v>7.7</x:v>
      </x:c>
      <x:c r="R70" s="57" t="n">
        <x:f>Q70/'Hypothèses &amp; sources'!$B$4</x:f>
        <x:v>1.925</x:v>
      </x:c>
      <x:c r="S70" s="56" t="n">
        <x:f>MAX(0,'Hypothèses &amp; sources'!$B$5*MAX(0,MIN(100,'Hypothèses &amp; sources'!$B$10-R70*'Hypothèses &amp; sources'!$B$9))+'Hypothèses &amp; sources'!$B$6*(G70/5*100)+'Hypothèses &amp; sources'!$B$7*(H70/5*100)+'Hypothèses &amp; sources'!$B$8*MAX(0,MIN(100,'Hypothèses &amp; sources'!$B$12-E70*'Hypothèses &amp; sources'!$B$11))-T70)</x:f>
        <x:v>78.858</x:v>
      </x:c>
      <x:c r="T70" s="33" t="n">
        <x:v>0</x:v>
      </x:c>
    </x:row>
    <x:row r="71">
      <x:c r="A71" s="33" t="n">
        <x:v>67</x:v>
      </x:c>
      <x:c r="B71" s="38" t="str">
        <x:v>Chestnut mushroom &amp; ricotta soup</x:v>
      </x:c>
      <x:c r="C71" s="38" t="str">
        <x:v>Soupe / bouillon</x:v>
      </x:c>
      <x:c r="D71" s="38" t="str">
        <x:v>bouillon, oignon, champignons, crème / fromage</x:v>
      </x:c>
      <x:c r="E71" s="33" t="n">
        <x:v>15</x:v>
      </x:c>
      <x:c r="F71" s="33" t="n">
        <x:v>35</x:v>
      </x:c>
      <x:c r="G71" s="56" t="n">
        <x:v>3.5</x:v>
      </x:c>
      <x:c r="H71" s="56" t="n">
        <x:v>3.2</x:v>
      </x:c>
      <x:c r="I71" s="33" t="n">
        <x:v>0</x:v>
      </x:c>
      <x:c r="J71" s="57" t="n">
        <x:v>7.9</x:v>
      </x:c>
      <x:c r="K71" s="57" t="n">
        <x:f>J71*'Hypothèses &amp; sources'!$E$4</x:f>
        <x:v>7.9</x:v>
      </x:c>
      <x:c r="L71" s="57" t="n">
        <x:f>J71*'Hypothèses &amp; sources'!$F$4</x:f>
        <x:v>8.374</x:v>
      </x:c>
      <x:c r="M71" s="57" t="n">
        <x:f>J71*'Hypothèses &amp; sources'!$G$4</x:f>
        <x:v>8.690000000000001</x:v>
      </x:c>
      <x:c r="N71" s="57" t="n">
        <x:f>J71*'Hypothèses &amp; sources'!$H$4</x:f>
        <x:v>8.769000000000002</x:v>
      </x:c>
      <x:c r="O71" s="57" t="n">
        <x:f>J71*'Hypothèses &amp; sources'!$I$4</x:f>
        <x:v>9.796000000000001</x:v>
      </x:c>
      <x:c r="P71" s="57" t="str">
        <x:v>Lidl</x:v>
      </x:c>
      <x:c r="Q71" s="57" t="n">
        <x:f>IF(P71="Lidl",K71,IF(P71="Super U",L71,IF(P71="Carrefour",M71,IF(P71="Auchan",N71,O71))))</x:f>
        <x:v>7.9</x:v>
      </x:c>
      <x:c r="R71" s="57" t="n">
        <x:f>Q71/'Hypothèses &amp; sources'!$B$4</x:f>
        <x:v>1.975</x:v>
      </x:c>
      <x:c r="S71" s="56" t="n">
        <x:f>MAX(0,'Hypothèses &amp; sources'!$B$5*MAX(0,MIN(100,'Hypothèses &amp; sources'!$B$10-R71*'Hypothèses &amp; sources'!$B$9))+'Hypothèses &amp; sources'!$B$6*(G71/5*100)+'Hypothèses &amp; sources'!$B$7*(H71/5*100)+'Hypothèses &amp; sources'!$B$8*MAX(0,MIN(100,'Hypothèses &amp; sources'!$B$12-E71*'Hypothèses &amp; sources'!$B$11))-T71)</x:f>
        <x:v>76.606</x:v>
      </x:c>
      <x:c r="T71" s="33" t="n">
        <x:v>0</x:v>
      </x:c>
    </x:row>
    <x:row r="72">
      <x:c r="A72" s="33" t="n">
        <x:v>68</x:v>
      </x:c>
      <x:c r="B72" s="38" t="str">
        <x:v>Dump &amp; done wild rice soup</x:v>
      </x:c>
      <x:c r="C72" s="38" t="str">
        <x:v>Soupe / végétarien</x:v>
      </x:c>
      <x:c r="D72" s="38" t="str">
        <x:v>riz sauvage, champignons, carotte, céleri, oignon, bouillon, crème</x:v>
      </x:c>
      <x:c r="E72" s="33" t="n">
        <x:v>10</x:v>
      </x:c>
      <x:c r="F72" s="33" t="n">
        <x:v>50</x:v>
      </x:c>
      <x:c r="G72" s="56" t="n">
        <x:v>4.1</x:v>
      </x:c>
      <x:c r="H72" s="56" t="n">
        <x:v>4.2</x:v>
      </x:c>
      <x:c r="I72" s="33" t="n">
        <x:v>1</x:v>
      </x:c>
      <x:c r="J72" s="57" t="n">
        <x:v>7.5</x:v>
      </x:c>
      <x:c r="K72" s="57" t="n">
        <x:f>J72*'Hypothèses &amp; sources'!$E$4</x:f>
        <x:v>7.5</x:v>
      </x:c>
      <x:c r="L72" s="57" t="n">
        <x:f>J72*'Hypothèses &amp; sources'!$F$4</x:f>
        <x:v>7.95</x:v>
      </x:c>
      <x:c r="M72" s="57" t="n">
        <x:f>J72*'Hypothèses &amp; sources'!$G$4</x:f>
        <x:v>8.25</x:v>
      </x:c>
      <x:c r="N72" s="57" t="n">
        <x:f>J72*'Hypothèses &amp; sources'!$H$4</x:f>
        <x:v>8.325000000000001</x:v>
      </x:c>
      <x:c r="O72" s="57" t="n">
        <x:f>J72*'Hypothèses &amp; sources'!$I$4</x:f>
        <x:v>9.3</x:v>
      </x:c>
      <x:c r="P72" s="57" t="str">
        <x:v>Super U</x:v>
      </x:c>
      <x:c r="Q72" s="57" t="n">
        <x:f>IF(P72="Lidl",K72,IF(P72="Super U",L72,IF(P72="Carrefour",M72,IF(P72="Auchan",N72,O72))))</x:f>
        <x:v>7.95</x:v>
      </x:c>
      <x:c r="R72" s="57" t="n">
        <x:f>Q72/'Hypothèses &amp; sources'!$B$4</x:f>
        <x:v>1.9875</x:v>
      </x:c>
      <x:c r="S72" s="56" t="n">
        <x:f>MAX(0,'Hypothèses &amp; sources'!$B$5*MAX(0,MIN(100,'Hypothèses &amp; sources'!$B$10-R72*'Hypothèses &amp; sources'!$B$9))+'Hypothèses &amp; sources'!$B$6*(G72/5*100)+'Hypothèses &amp; sources'!$B$7*(H72/5*100)+'Hypothèses &amp; sources'!$B$8*MAX(0,MIN(100,'Hypothèses &amp; sources'!$B$12-E72*'Hypothèses &amp; sources'!$B$11))-T72)</x:f>
        <x:v>84.82300000000001</x:v>
      </x:c>
      <x:c r="T72" s="33" t="n">
        <x:v>0</x:v>
      </x:c>
    </x:row>
    <x:row r="73">
      <x:c r="A73" s="33" t="n">
        <x:v>69</x:v>
      </x:c>
      <x:c r="B73" s="38" t="str">
        <x:v>Shredded chicken</x:v>
      </x:c>
      <x:c r="C73" s="38" t="str">
        <x:v>Poulet / base</x:v>
      </x:c>
      <x:c r="D73" s="38" t="str">
        <x:v>poulet, bouillon, oignon, épices</x:v>
      </x:c>
      <x:c r="E73" s="33" t="n">
        <x:v>10</x:v>
      </x:c>
      <x:c r="F73" s="33" t="n">
        <x:v>35</x:v>
      </x:c>
      <x:c r="G73" s="56" t="n">
        <x:v>4.3</x:v>
      </x:c>
      <x:c r="H73" s="56" t="n">
        <x:v>3.8</x:v>
      </x:c>
      <x:c r="I73" s="33" t="n">
        <x:v>0</x:v>
      </x:c>
      <x:c r="J73" s="57" t="n">
        <x:v>8</x:v>
      </x:c>
      <x:c r="K73" s="57" t="n">
        <x:f>J73*'Hypothèses &amp; sources'!$E$4</x:f>
        <x:v>8</x:v>
      </x:c>
      <x:c r="L73" s="57" t="n">
        <x:f>J73*'Hypothèses &amp; sources'!$F$4</x:f>
        <x:v>8.48</x:v>
      </x:c>
      <x:c r="M73" s="57" t="n">
        <x:f>J73*'Hypothèses &amp; sources'!$G$4</x:f>
        <x:v>8.8</x:v>
      </x:c>
      <x:c r="N73" s="57" t="n">
        <x:f>J73*'Hypothèses &amp; sources'!$H$4</x:f>
        <x:v>8.88</x:v>
      </x:c>
      <x:c r="O73" s="57" t="n">
        <x:f>J73*'Hypothèses &amp; sources'!$I$4</x:f>
        <x:v>9.92</x:v>
      </x:c>
      <x:c r="P73" s="57" t="str">
        <x:v>Lidl</x:v>
      </x:c>
      <x:c r="Q73" s="57" t="n">
        <x:f>IF(P73="Lidl",K73,IF(P73="Super U",L73,IF(P73="Carrefour",M73,IF(P73="Auchan",N73,O73))))</x:f>
        <x:v>8</x:v>
      </x:c>
      <x:c r="R73" s="57" t="n">
        <x:f>Q73/'Hypothèses &amp; sources'!$B$4</x:f>
        <x:v>2</x:v>
      </x:c>
      <x:c r="S73" s="56" t="n">
        <x:f>MAX(0,'Hypothèses &amp; sources'!$B$5*MAX(0,MIN(100,'Hypothèses &amp; sources'!$B$10-R73*'Hypothèses &amp; sources'!$B$9))+'Hypothèses &amp; sources'!$B$6*(G73/5*100)+'Hypothèses &amp; sources'!$B$7*(H73/5*100)+'Hypothèses &amp; sources'!$B$8*MAX(0,MIN(100,'Hypothèses &amp; sources'!$B$12-E73*'Hypothèses &amp; sources'!$B$11))-T73)</x:f>
        <x:v>84.44</x:v>
      </x:c>
      <x:c r="T73" s="33" t="n">
        <x:v>0</x:v>
      </x:c>
    </x:row>
    <x:row r="74">
      <x:c r="A74" s="33" t="n">
        <x:v>70</x:v>
      </x:c>
      <x:c r="B74" s="38" t="str">
        <x:v>Mushroom spinach risotto</x:v>
      </x:c>
      <x:c r="C74" s="38" t="str">
        <x:v>Riz / végétarien</x:v>
      </x:c>
      <x:c r="D74" s="38" t="str">
        <x:v>riz arborio, champignons, épinards, bouillon, parmesan, oignon</x:v>
      </x:c>
      <x:c r="E74" s="33" t="n">
        <x:v>20</x:v>
      </x:c>
      <x:c r="F74" s="33" t="n">
        <x:v>40</x:v>
      </x:c>
      <x:c r="G74" s="56" t="n">
        <x:v>4.2</x:v>
      </x:c>
      <x:c r="H74" s="56" t="n">
        <x:v>4.2</x:v>
      </x:c>
      <x:c r="I74" s="33" t="n">
        <x:v>0</x:v>
      </x:c>
      <x:c r="J74" s="57" t="n">
        <x:v>8</x:v>
      </x:c>
      <x:c r="K74" s="57" t="n">
        <x:f>J74*'Hypothèses &amp; sources'!$E$4</x:f>
        <x:v>8</x:v>
      </x:c>
      <x:c r="L74" s="57" t="n">
        <x:f>J74*'Hypothèses &amp; sources'!$F$4</x:f>
        <x:v>8.48</x:v>
      </x:c>
      <x:c r="M74" s="57" t="n">
        <x:f>J74*'Hypothèses &amp; sources'!$G$4</x:f>
        <x:v>8.8</x:v>
      </x:c>
      <x:c r="N74" s="57" t="n">
        <x:f>J74*'Hypothèses &amp; sources'!$H$4</x:f>
        <x:v>8.88</x:v>
      </x:c>
      <x:c r="O74" s="57" t="n">
        <x:f>J74*'Hypothèses &amp; sources'!$I$4</x:f>
        <x:v>9.92</x:v>
      </x:c>
      <x:c r="P74" s="57" t="str">
        <x:v>Lidl</x:v>
      </x:c>
      <x:c r="Q74" s="57" t="n">
        <x:f>IF(P74="Lidl",K74,IF(P74="Super U",L74,IF(P74="Carrefour",M74,IF(P74="Auchan",N74,O74))))</x:f>
        <x:v>8</x:v>
      </x:c>
      <x:c r="R74" s="57" t="n">
        <x:f>Q74/'Hypothèses &amp; sources'!$B$4</x:f>
        <x:v>2</x:v>
      </x:c>
      <x:c r="S74" s="56" t="n">
        <x:f>MAX(0,'Hypothèses &amp; sources'!$B$5*MAX(0,MIN(100,'Hypothèses &amp; sources'!$B$10-R74*'Hypothèses &amp; sources'!$B$9))+'Hypothèses &amp; sources'!$B$6*(G74/5*100)+'Hypothèses &amp; sources'!$B$7*(H74/5*100)+'Hypothèses &amp; sources'!$B$8*MAX(0,MIN(100,'Hypothèses &amp; sources'!$B$12-E74*'Hypothèses &amp; sources'!$B$11))-T74)</x:f>
        <x:v>82.68</x:v>
      </x:c>
      <x:c r="T74" s="33" t="n">
        <x:v>0</x:v>
      </x:c>
    </x:row>
    <x:row r="75">
      <x:c r="A75" s="33" t="n">
        <x:v>71</x:v>
      </x:c>
      <x:c r="B75" s="38" t="str">
        <x:v>Penne alla vodka</x:v>
      </x:c>
      <x:c r="C75" s="38" t="str">
        <x:v>Pâtes</x:v>
      </x:c>
      <x:c r="D75" s="38" t="str">
        <x:v>penne, tomates, crème, vodka, parmesan, oignon</x:v>
      </x:c>
      <x:c r="E75" s="33" t="n">
        <x:v>15</x:v>
      </x:c>
      <x:c r="F75" s="33" t="n">
        <x:v>30</x:v>
      </x:c>
      <x:c r="G75" s="56" t="n">
        <x:v>4</x:v>
      </x:c>
      <x:c r="H75" s="56" t="n">
        <x:v>3</x:v>
      </x:c>
      <x:c r="I75" s="33" t="n">
        <x:v>0</x:v>
      </x:c>
      <x:c r="J75" s="57" t="n">
        <x:v>8</x:v>
      </x:c>
      <x:c r="K75" s="57" t="n">
        <x:f>J75*'Hypothèses &amp; sources'!$E$4</x:f>
        <x:v>8</x:v>
      </x:c>
      <x:c r="L75" s="57" t="n">
        <x:f>J75*'Hypothèses &amp; sources'!$F$4</x:f>
        <x:v>8.48</x:v>
      </x:c>
      <x:c r="M75" s="57" t="n">
        <x:f>J75*'Hypothèses &amp; sources'!$G$4</x:f>
        <x:v>8.8</x:v>
      </x:c>
      <x:c r="N75" s="57" t="n">
        <x:f>J75*'Hypothèses &amp; sources'!$H$4</x:f>
        <x:v>8.88</x:v>
      </x:c>
      <x:c r="O75" s="57" t="n">
        <x:f>J75*'Hypothèses &amp; sources'!$I$4</x:f>
        <x:v>9.92</x:v>
      </x:c>
      <x:c r="P75" s="57" t="str">
        <x:v>Lidl</x:v>
      </x:c>
      <x:c r="Q75" s="57" t="n">
        <x:f>IF(P75="Lidl",K75,IF(P75="Super U",L75,IF(P75="Carrefour",M75,IF(P75="Auchan",N75,O75))))</x:f>
        <x:v>8</x:v>
      </x:c>
      <x:c r="R75" s="57" t="n">
        <x:f>Q75/'Hypothèses &amp; sources'!$B$4</x:f>
        <x:v>2</x:v>
      </x:c>
      <x:c r="S75" s="56" t="n">
        <x:f>MAX(0,'Hypothèses &amp; sources'!$B$5*MAX(0,MIN(100,'Hypothèses &amp; sources'!$B$10-R75*'Hypothèses &amp; sources'!$B$9))+'Hypothèses &amp; sources'!$B$6*(G75/5*100)+'Hypothèses &amp; sources'!$B$7*(H75/5*100)+'Hypothèses &amp; sources'!$B$8*MAX(0,MIN(100,'Hypothèses &amp; sources'!$B$12-E75*'Hypothèses &amp; sources'!$B$11))-T75)</x:f>
        <x:v>78.55999999999999</x:v>
      </x:c>
      <x:c r="T75" s="33" t="n">
        <x:v>0</x:v>
      </x:c>
    </x:row>
    <x:row r="76">
      <x:c r="A76" s="33" t="n">
        <x:v>72</x:v>
      </x:c>
      <x:c r="B76" s="38" t="str">
        <x:v>Scotch eggs</x:v>
      </x:c>
      <x:c r="C76" s="38" t="str">
        <x:v>Œufs / viande</x:v>
      </x:c>
      <x:c r="D76" s="38" t="str">
        <x:v>œufs, chair à saucisse, chapelure, farine</x:v>
      </x:c>
      <x:c r="E76" s="33" t="n">
        <x:v>25</x:v>
      </x:c>
      <x:c r="F76" s="33" t="n">
        <x:v>45</x:v>
      </x:c>
      <x:c r="G76" s="56" t="n">
        <x:v>4.5</x:v>
      </x:c>
      <x:c r="H76" s="56" t="n">
        <x:v>2.8</x:v>
      </x:c>
      <x:c r="I76" s="33" t="n">
        <x:v>0</x:v>
      </x:c>
      <x:c r="J76" s="57" t="n">
        <x:v>8</x:v>
      </x:c>
      <x:c r="K76" s="57" t="n">
        <x:f>J76*'Hypothèses &amp; sources'!$E$4</x:f>
        <x:v>8</x:v>
      </x:c>
      <x:c r="L76" s="57" t="n">
        <x:f>J76*'Hypothèses &amp; sources'!$F$4</x:f>
        <x:v>8.48</x:v>
      </x:c>
      <x:c r="M76" s="57" t="n">
        <x:f>J76*'Hypothèses &amp; sources'!$G$4</x:f>
        <x:v>8.8</x:v>
      </x:c>
      <x:c r="N76" s="57" t="n">
        <x:f>J76*'Hypothèses &amp; sources'!$H$4</x:f>
        <x:v>8.88</x:v>
      </x:c>
      <x:c r="O76" s="57" t="n">
        <x:f>J76*'Hypothèses &amp; sources'!$I$4</x:f>
        <x:v>9.92</x:v>
      </x:c>
      <x:c r="P76" s="57" t="str">
        <x:v>Lidl</x:v>
      </x:c>
      <x:c r="Q76" s="57" t="n">
        <x:f>IF(P76="Lidl",K76,IF(P76="Super U",L76,IF(P76="Carrefour",M76,IF(P76="Auchan",N76,O76))))</x:f>
        <x:v>8</x:v>
      </x:c>
      <x:c r="R76" s="57" t="n">
        <x:f>Q76/'Hypothèses &amp; sources'!$B$4</x:f>
        <x:v>2</x:v>
      </x:c>
      <x:c r="S76" s="56" t="n">
        <x:f>MAX(0,'Hypothèses &amp; sources'!$B$5*MAX(0,MIN(100,'Hypothèses &amp; sources'!$B$10-R76*'Hypothèses &amp; sources'!$B$9))+'Hypothèses &amp; sources'!$B$6*(G76/5*100)+'Hypothèses &amp; sources'!$B$7*(H76/5*100)+'Hypothèses &amp; sources'!$B$8*MAX(0,MIN(100,'Hypothèses &amp; sources'!$B$12-E76*'Hypothèses &amp; sources'!$B$11))-T76)</x:f>
        <x:v>78</x:v>
      </x:c>
      <x:c r="T76" s="33" t="n">
        <x:v>0</x:v>
      </x:c>
    </x:row>
    <x:row r="77">
      <x:c r="A77" s="33" t="n">
        <x:v>73</x:v>
      </x:c>
      <x:c r="B77" s="38" t="str">
        <x:v>Carnitas</x:v>
      </x:c>
      <x:c r="C77" s="38" t="str">
        <x:v>Plat complet</x:v>
      </x:c>
      <x:c r="D77" s="38" t="str">
        <x:v>porc</x:v>
      </x:c>
      <x:c r="E77" s="33" t="n">
        <x:v>20</x:v>
      </x:c>
      <x:c r="F77" s="33" t="n">
        <x:v>40</x:v>
      </x:c>
      <x:c r="G77" s="56" t="n">
        <x:v>3.9</x:v>
      </x:c>
      <x:c r="H77" s="56" t="n">
        <x:v>3.1</x:v>
      </x:c>
      <x:c r="I77" s="33" t="n">
        <x:v>0</x:v>
      </x:c>
      <x:c r="J77" s="57" t="n">
        <x:v>8.1</x:v>
      </x:c>
      <x:c r="K77" s="57" t="n">
        <x:f>J77*'Hypothèses &amp; sources'!$E$4</x:f>
        <x:v>8.1</x:v>
      </x:c>
      <x:c r="L77" s="57" t="n">
        <x:f>J77*'Hypothèses &amp; sources'!$F$4</x:f>
        <x:v>8.586</x:v>
      </x:c>
      <x:c r="M77" s="57" t="n">
        <x:f>J77*'Hypothèses &amp; sources'!$G$4</x:f>
        <x:v>8.91</x:v>
      </x:c>
      <x:c r="N77" s="57" t="n">
        <x:f>J77*'Hypothèses &amp; sources'!$H$4</x:f>
        <x:v>8.991</x:v>
      </x:c>
      <x:c r="O77" s="57" t="n">
        <x:f>J77*'Hypothèses &amp; sources'!$I$4</x:f>
        <x:v>10.043999999999999</x:v>
      </x:c>
      <x:c r="P77" s="57" t="str">
        <x:v>Lidl</x:v>
      </x:c>
      <x:c r="Q77" s="57" t="n">
        <x:f>IF(P77="Lidl",K77,IF(P77="Super U",L77,IF(P77="Carrefour",M77,IF(P77="Auchan",N77,O77))))</x:f>
        <x:v>8.1</x:v>
      </x:c>
      <x:c r="R77" s="57" t="n">
        <x:f>Q77/'Hypothèses &amp; sources'!$B$4</x:f>
        <x:v>2.025</x:v>
      </x:c>
      <x:c r="S77" s="56" t="n">
        <x:f>MAX(0,'Hypothèses &amp; sources'!$B$5*MAX(0,MIN(100,'Hypothèses &amp; sources'!$B$10-R77*'Hypothèses &amp; sources'!$B$9))+'Hypothèses &amp; sources'!$B$6*(G77/5*100)+'Hypothèses &amp; sources'!$B$7*(H77/5*100)+'Hypothèses &amp; sources'!$B$8*MAX(0,MIN(100,'Hypothèses &amp; sources'!$B$12-E77*'Hypothèses &amp; sources'!$B$11))-T77)</x:f>
        <x:v>76.914</x:v>
      </x:c>
      <x:c r="T77" s="33" t="n">
        <x:v>0</x:v>
      </x:c>
    </x:row>
    <x:row r="78">
      <x:c r="A78" s="33" t="n">
        <x:v>74</x:v>
      </x:c>
      <x:c r="B78" s="38" t="str">
        <x:v>Lentil soup with ham</x:v>
      </x:c>
      <x:c r="C78" s="38" t="str">
        <x:v>Soupe / bouillon</x:v>
      </x:c>
      <x:c r="D78" s="38" t="str">
        <x:v>bouillon, oignon, légumineuses, jambon</x:v>
      </x:c>
      <x:c r="E78" s="33" t="n">
        <x:v>15</x:v>
      </x:c>
      <x:c r="F78" s="33" t="n">
        <x:v>35</x:v>
      </x:c>
      <x:c r="G78" s="56" t="n">
        <x:v>4.5</x:v>
      </x:c>
      <x:c r="H78" s="56" t="n">
        <x:v>3.8</x:v>
      </x:c>
      <x:c r="I78" s="33" t="n">
        <x:v>0</x:v>
      </x:c>
      <x:c r="J78" s="57" t="n">
        <x:v>8.2</x:v>
      </x:c>
      <x:c r="K78" s="57" t="n">
        <x:f>J78*'Hypothèses &amp; sources'!$E$4</x:f>
        <x:v>8.2</x:v>
      </x:c>
      <x:c r="L78" s="57" t="n">
        <x:f>J78*'Hypothèses &amp; sources'!$F$4</x:f>
        <x:v>8.692</x:v>
      </x:c>
      <x:c r="M78" s="57" t="n">
        <x:f>J78*'Hypothèses &amp; sources'!$G$4</x:f>
        <x:v>9.02</x:v>
      </x:c>
      <x:c r="N78" s="57" t="n">
        <x:f>J78*'Hypothèses &amp; sources'!$H$4</x:f>
        <x:v>9.102</x:v>
      </x:c>
      <x:c r="O78" s="57" t="n">
        <x:f>J78*'Hypothèses &amp; sources'!$I$4</x:f>
        <x:v>10.168</x:v>
      </x:c>
      <x:c r="P78" s="57" t="str">
        <x:v>Lidl</x:v>
      </x:c>
      <x:c r="Q78" s="57" t="n">
        <x:f>IF(P78="Lidl",K78,IF(P78="Super U",L78,IF(P78="Carrefour",M78,IF(P78="Auchan",N78,O78))))</x:f>
        <x:v>8.2</x:v>
      </x:c>
      <x:c r="R78" s="57" t="n">
        <x:f>Q78/'Hypothèses &amp; sources'!$B$4</x:f>
        <x:v>2.05</x:v>
      </x:c>
      <x:c r="S78" s="56" t="n">
        <x:f>MAX(0,'Hypothèses &amp; sources'!$B$5*MAX(0,MIN(100,'Hypothèses &amp; sources'!$B$10-R78*'Hypothèses &amp; sources'!$B$9))+'Hypothèses &amp; sources'!$B$6*(G78/5*100)+'Hypothèses &amp; sources'!$B$7*(H78/5*100)+'Hypothèses &amp; sources'!$B$8*MAX(0,MIN(100,'Hypothèses &amp; sources'!$B$12-E78*'Hypothèses &amp; sources'!$B$11))-T78)</x:f>
        <x:v>83.988</x:v>
      </x:c>
      <x:c r="T78" s="33" t="n">
        <x:v>0</x:v>
      </x:c>
    </x:row>
    <x:row r="79">
      <x:c r="A79" s="33" t="n">
        <x:v>75</x:v>
      </x:c>
      <x:c r="B79" s="38" t="str">
        <x:v>Thai chicken fried rice</x:v>
      </x:c>
      <x:c r="C79" s="38" t="str">
        <x:v>Plat complet</x:v>
      </x:c>
      <x:c r="D79" s="38" t="str">
        <x:v>riz, poulet</x:v>
      </x:c>
      <x:c r="E79" s="33" t="n">
        <x:v>20</x:v>
      </x:c>
      <x:c r="F79" s="33" t="n">
        <x:v>40</x:v>
      </x:c>
      <x:c r="G79" s="56" t="n">
        <x:v>4.3</x:v>
      </x:c>
      <x:c r="H79" s="56" t="n">
        <x:v>3.5</x:v>
      </x:c>
      <x:c r="I79" s="33" t="n">
        <x:v>0</x:v>
      </x:c>
      <x:c r="J79" s="57" t="n">
        <x:v>8.2</x:v>
      </x:c>
      <x:c r="K79" s="57" t="n">
        <x:f>J79*'Hypothèses &amp; sources'!$E$4</x:f>
        <x:v>8.2</x:v>
      </x:c>
      <x:c r="L79" s="57" t="n">
        <x:f>J79*'Hypothèses &amp; sources'!$F$4</x:f>
        <x:v>8.692</x:v>
      </x:c>
      <x:c r="M79" s="57" t="n">
        <x:f>J79*'Hypothèses &amp; sources'!$G$4</x:f>
        <x:v>9.02</x:v>
      </x:c>
      <x:c r="N79" s="57" t="n">
        <x:f>J79*'Hypothèses &amp; sources'!$H$4</x:f>
        <x:v>9.102</x:v>
      </x:c>
      <x:c r="O79" s="57" t="n">
        <x:f>J79*'Hypothèses &amp; sources'!$I$4</x:f>
        <x:v>10.168</x:v>
      </x:c>
      <x:c r="P79" s="57" t="str">
        <x:v>Lidl</x:v>
      </x:c>
      <x:c r="Q79" s="57" t="n">
        <x:f>IF(P79="Lidl",K79,IF(P79="Super U",L79,IF(P79="Carrefour",M79,IF(P79="Auchan",N79,O79))))</x:f>
        <x:v>8.2</x:v>
      </x:c>
      <x:c r="R79" s="57" t="n">
        <x:f>Q79/'Hypothèses &amp; sources'!$B$4</x:f>
        <x:v>2.05</x:v>
      </x:c>
      <x:c r="S79" s="56" t="n">
        <x:f>MAX(0,'Hypothèses &amp; sources'!$B$5*MAX(0,MIN(100,'Hypothèses &amp; sources'!$B$10-R79*'Hypothèses &amp; sources'!$B$9))+'Hypothèses &amp; sources'!$B$6*(G79/5*100)+'Hypothèses &amp; sources'!$B$7*(H79/5*100)+'Hypothèses &amp; sources'!$B$8*MAX(0,MIN(100,'Hypothèses &amp; sources'!$B$12-E79*'Hypothèses &amp; sources'!$B$11))-T79)</x:f>
        <x:v>80.468</x:v>
      </x:c>
      <x:c r="T79" s="33" t="n">
        <x:v>0</x:v>
      </x:c>
    </x:row>
    <x:row r="80">
      <x:c r="A80" s="33" t="n">
        <x:v>76</x:v>
      </x:c>
      <x:c r="B80" s="38" t="str">
        <x:v>Kielbasa and rice</x:v>
      </x:c>
      <x:c r="C80" s="38" t="str">
        <x:v>Plat complet</x:v>
      </x:c>
      <x:c r="D80" s="38" t="str">
        <x:v>riz, charcuterie / saucisse</x:v>
      </x:c>
      <x:c r="E80" s="33" t="n">
        <x:v>20</x:v>
      </x:c>
      <x:c r="F80" s="33" t="n">
        <x:v>40</x:v>
      </x:c>
      <x:c r="G80" s="56" t="n">
        <x:v>4.3</x:v>
      </x:c>
      <x:c r="H80" s="56" t="n">
        <x:v>2.7</x:v>
      </x:c>
      <x:c r="I80" s="33" t="n">
        <x:v>0</x:v>
      </x:c>
      <x:c r="J80" s="57" t="n">
        <x:v>8.3</x:v>
      </x:c>
      <x:c r="K80" s="57" t="n">
        <x:f>J80*'Hypothèses &amp; sources'!$E$4</x:f>
        <x:v>8.3</x:v>
      </x:c>
      <x:c r="L80" s="57" t="n">
        <x:f>J80*'Hypothèses &amp; sources'!$F$4</x:f>
        <x:v>8.798000000000002</x:v>
      </x:c>
      <x:c r="M80" s="57" t="n">
        <x:f>J80*'Hypothèses &amp; sources'!$G$4</x:f>
        <x:v>9.13</x:v>
      </x:c>
      <x:c r="N80" s="57" t="n">
        <x:f>J80*'Hypothèses &amp; sources'!$H$4</x:f>
        <x:v>9.213000000000001</x:v>
      </x:c>
      <x:c r="O80" s="57" t="n">
        <x:f>J80*'Hypothèses &amp; sources'!$I$4</x:f>
        <x:v>10.292000000000002</x:v>
      </x:c>
      <x:c r="P80" s="57" t="str">
        <x:v>Lidl</x:v>
      </x:c>
      <x:c r="Q80" s="57" t="n">
        <x:f>IF(P80="Lidl",K80,IF(P80="Super U",L80,IF(P80="Carrefour",M80,IF(P80="Auchan",N80,O80))))</x:f>
        <x:v>8.3</x:v>
      </x:c>
      <x:c r="R80" s="57" t="n">
        <x:f>Q80/'Hypothèses &amp; sources'!$B$4</x:f>
        <x:v>2.075</x:v>
      </x:c>
      <x:c r="S80" s="56" t="n">
        <x:f>MAX(0,'Hypothèses &amp; sources'!$B$5*MAX(0,MIN(100,'Hypothèses &amp; sources'!$B$10-R80*'Hypothèses &amp; sources'!$B$9))+'Hypothèses &amp; sources'!$B$6*(G80/5*100)+'Hypothèses &amp; sources'!$B$7*(H80/5*100)+'Hypothèses &amp; sources'!$B$8*MAX(0,MIN(100,'Hypothèses &amp; sources'!$B$12-E80*'Hypothèses &amp; sources'!$B$11))-T80)</x:f>
        <x:v>77.462</x:v>
      </x:c>
      <x:c r="T80" s="33" t="n">
        <x:v>0</x:v>
      </x:c>
    </x:row>
    <x:row r="81">
      <x:c r="A81" s="33" t="n">
        <x:v>77</x:v>
      </x:c>
      <x:c r="B81" s="38" t="str">
        <x:v>Tuscan chicken pasta</x:v>
      </x:c>
      <x:c r="C81" s="38" t="str">
        <x:v>Plat complet</x:v>
      </x:c>
      <x:c r="D81" s="38" t="str">
        <x:v>pâtes / nouilles, poulet</x:v>
      </x:c>
      <x:c r="E81" s="33" t="n">
        <x:v>20</x:v>
      </x:c>
      <x:c r="F81" s="33" t="n">
        <x:v>40</x:v>
      </x:c>
      <x:c r="G81" s="56" t="n">
        <x:v>4.2</x:v>
      </x:c>
      <x:c r="H81" s="56" t="n">
        <x:v>3.5</x:v>
      </x:c>
      <x:c r="I81" s="33" t="n">
        <x:v>0</x:v>
      </x:c>
      <x:c r="J81" s="57" t="n">
        <x:v>8.4</x:v>
      </x:c>
      <x:c r="K81" s="57" t="n">
        <x:f>J81*'Hypothèses &amp; sources'!$E$4</x:f>
        <x:v>8.4</x:v>
      </x:c>
      <x:c r="L81" s="57" t="n">
        <x:f>J81*'Hypothèses &amp; sources'!$F$4</x:f>
        <x:v>8.904000000000002</x:v>
      </x:c>
      <x:c r="M81" s="57" t="n">
        <x:f>J81*'Hypothèses &amp; sources'!$G$4</x:f>
        <x:v>9.240000000000002</x:v>
      </x:c>
      <x:c r="N81" s="57" t="n">
        <x:f>J81*'Hypothèses &amp; sources'!$H$4</x:f>
        <x:v>9.324000000000002</x:v>
      </x:c>
      <x:c r="O81" s="57" t="n">
        <x:f>J81*'Hypothèses &amp; sources'!$I$4</x:f>
        <x:v>10.416</x:v>
      </x:c>
      <x:c r="P81" s="57" t="str">
        <x:v>Lidl</x:v>
      </x:c>
      <x:c r="Q81" s="57" t="n">
        <x:f>IF(P81="Lidl",K81,IF(P81="Super U",L81,IF(P81="Carrefour",M81,IF(P81="Auchan",N81,O81))))</x:f>
        <x:v>8.4</x:v>
      </x:c>
      <x:c r="R81" s="57" t="n">
        <x:f>Q81/'Hypothèses &amp; sources'!$B$4</x:f>
        <x:v>2.1</x:v>
      </x:c>
      <x:c r="S81" s="56" t="n">
        <x:f>MAX(0,'Hypothèses &amp; sources'!$B$5*MAX(0,MIN(100,'Hypothèses &amp; sources'!$B$10-R81*'Hypothèses &amp; sources'!$B$9))+'Hypothèses &amp; sources'!$B$6*(G81/5*100)+'Hypothèses &amp; sources'!$B$7*(H81/5*100)+'Hypothèses &amp; sources'!$B$8*MAX(0,MIN(100,'Hypothèses &amp; sources'!$B$12-E81*'Hypothèses &amp; sources'!$B$11))-T81)</x:f>
        <x:v>79.656</x:v>
      </x:c>
      <x:c r="T81" s="33" t="n">
        <x:v>0</x:v>
      </x:c>
    </x:row>
    <x:row r="82">
      <x:c r="A82" s="33" t="n">
        <x:v>78</x:v>
      </x:c>
      <x:c r="B82" s="38" t="str">
        <x:v>Pizza egg rolls</x:v>
      </x:c>
      <x:c r="C82" s="38" t="str">
        <x:v>Apéritif / snack</x:v>
      </x:c>
      <x:c r="D82" s="38" t="str">
        <x:v>feuilles à rouleaux, mozzarella, sauce tomate, pepperoni</x:v>
      </x:c>
      <x:c r="E82" s="33" t="n">
        <x:v>20</x:v>
      </x:c>
      <x:c r="F82" s="33" t="n">
        <x:v>35</x:v>
      </x:c>
      <x:c r="G82" s="56" t="n">
        <x:v>3.5</x:v>
      </x:c>
      <x:c r="H82" s="56" t="n">
        <x:v>2.5</x:v>
      </x:c>
      <x:c r="I82" s="33" t="n">
        <x:v>1</x:v>
      </x:c>
      <x:c r="J82" s="57" t="n">
        <x:v>8</x:v>
      </x:c>
      <x:c r="K82" s="57" t="n">
        <x:f>J82*'Hypothèses &amp; sources'!$E$4</x:f>
        <x:v>8</x:v>
      </x:c>
      <x:c r="L82" s="57" t="n">
        <x:f>J82*'Hypothèses &amp; sources'!$F$4</x:f>
        <x:v>8.48</x:v>
      </x:c>
      <x:c r="M82" s="57" t="n">
        <x:f>J82*'Hypothèses &amp; sources'!$G$4</x:f>
        <x:v>8.8</x:v>
      </x:c>
      <x:c r="N82" s="57" t="n">
        <x:f>J82*'Hypothèses &amp; sources'!$H$4</x:f>
        <x:v>8.88</x:v>
      </x:c>
      <x:c r="O82" s="57" t="n">
        <x:f>J82*'Hypothèses &amp; sources'!$I$4</x:f>
        <x:v>9.92</x:v>
      </x:c>
      <x:c r="P82" s="57" t="str">
        <x:v>Super U</x:v>
      </x:c>
      <x:c r="Q82" s="57" t="n">
        <x:f>IF(P82="Lidl",K82,IF(P82="Super U",L82,IF(P82="Carrefour",M82,IF(P82="Auchan",N82,O82))))</x:f>
        <x:v>8.48</x:v>
      </x:c>
      <x:c r="R82" s="57" t="n">
        <x:f>Q82/'Hypothèses &amp; sources'!$B$4</x:f>
        <x:v>2.12</x:v>
      </x:c>
      <x:c r="S82" s="56" t="n">
        <x:f>MAX(0,'Hypothèses &amp; sources'!$B$5*MAX(0,MIN(100,'Hypothèses &amp; sources'!$B$10-R82*'Hypothèses &amp; sources'!$B$9))+'Hypothèses &amp; sources'!$B$6*(G82/5*100)+'Hypothèses &amp; sources'!$B$7*(H82/5*100)+'Hypothèses &amp; sources'!$B$8*MAX(0,MIN(100,'Hypothèses &amp; sources'!$B$12-E82*'Hypothèses &amp; sources'!$B$11))-T82)</x:f>
        <x:v>62.0352</x:v>
      </x:c>
      <x:c r="T82" s="33" t="n">
        <x:v>10</x:v>
      </x:c>
    </x:row>
    <x:row r="83">
      <x:c r="A83" s="33" t="n">
        <x:v>79</x:v>
      </x:c>
      <x:c r="B83" s="38" t="str">
        <x:v>Chili lime chicken</x:v>
      </x:c>
      <x:c r="C83" s="38" t="str">
        <x:v>Plat complet</x:v>
      </x:c>
      <x:c r="D83" s="38" t="str">
        <x:v>piment / chili, citron vert, poulet</x:v>
      </x:c>
      <x:c r="E83" s="33" t="n">
        <x:v>20</x:v>
      </x:c>
      <x:c r="F83" s="33" t="n">
        <x:v>40</x:v>
      </x:c>
      <x:c r="G83" s="56" t="n">
        <x:v>3.9</x:v>
      </x:c>
      <x:c r="H83" s="56" t="n">
        <x:v>3.5</x:v>
      </x:c>
      <x:c r="I83" s="33" t="n">
        <x:v>0</x:v>
      </x:c>
      <x:c r="J83" s="57" t="n">
        <x:v>8.5</x:v>
      </x:c>
      <x:c r="K83" s="57" t="n">
        <x:f>J83*'Hypothèses &amp; sources'!$E$4</x:f>
        <x:v>8.5</x:v>
      </x:c>
      <x:c r="L83" s="57" t="n">
        <x:f>J83*'Hypothèses &amp; sources'!$F$4</x:f>
        <x:v>9.01</x:v>
      </x:c>
      <x:c r="M83" s="57" t="n">
        <x:f>J83*'Hypothèses &amp; sources'!$G$4</x:f>
        <x:v>9.350000000000001</x:v>
      </x:c>
      <x:c r="N83" s="57" t="n">
        <x:f>J83*'Hypothèses &amp; sources'!$H$4</x:f>
        <x:v>9.435</x:v>
      </x:c>
      <x:c r="O83" s="57" t="n">
        <x:f>J83*'Hypothèses &amp; sources'!$I$4</x:f>
        <x:v>10.54</x:v>
      </x:c>
      <x:c r="P83" s="57" t="str">
        <x:v>Lidl</x:v>
      </x:c>
      <x:c r="Q83" s="57" t="n">
        <x:f>IF(P83="Lidl",K83,IF(P83="Super U",L83,IF(P83="Carrefour",M83,IF(P83="Auchan",N83,O83))))</x:f>
        <x:v>8.5</x:v>
      </x:c>
      <x:c r="R83" s="57" t="n">
        <x:f>Q83/'Hypothèses &amp; sources'!$B$4</x:f>
        <x:v>2.125</x:v>
      </x:c>
      <x:c r="S83" s="56" t="n">
        <x:f>MAX(0,'Hypothèses &amp; sources'!$B$5*MAX(0,MIN(100,'Hypothèses &amp; sources'!$B$10-R83*'Hypothèses &amp; sources'!$B$9))+'Hypothèses &amp; sources'!$B$6*(G83/5*100)+'Hypothèses &amp; sources'!$B$7*(H83/5*100)+'Hypothèses &amp; sources'!$B$8*MAX(0,MIN(100,'Hypothèses &amp; sources'!$B$12-E83*'Hypothèses &amp; sources'!$B$11))-T83)</x:f>
        <x:v>77.85000000000001</x:v>
      </x:c>
      <x:c r="T83" s="33" t="n">
        <x:v>0</x:v>
      </x:c>
    </x:row>
    <x:row r="84">
      <x:c r="A84" s="33" t="n">
        <x:v>80</x:v>
      </x:c>
      <x:c r="B84" s="38" t="str">
        <x:v>Cilantro lime chicken</x:v>
      </x:c>
      <x:c r="C84" s="38" t="str">
        <x:v>Plat complet</x:v>
      </x:c>
      <x:c r="D84" s="38" t="str">
        <x:v>citron vert, coriandre, poulet</x:v>
      </x:c>
      <x:c r="E84" s="33" t="n">
        <x:v>20</x:v>
      </x:c>
      <x:c r="F84" s="33" t="n">
        <x:v>40</x:v>
      </x:c>
      <x:c r="G84" s="56" t="n">
        <x:v>3.9</x:v>
      </x:c>
      <x:c r="H84" s="56" t="n">
        <x:v>3.5</x:v>
      </x:c>
      <x:c r="I84" s="33" t="n">
        <x:v>0</x:v>
      </x:c>
      <x:c r="J84" s="57" t="n">
        <x:v>8.5</x:v>
      </x:c>
      <x:c r="K84" s="57" t="n">
        <x:f>J84*'Hypothèses &amp; sources'!$E$4</x:f>
        <x:v>8.5</x:v>
      </x:c>
      <x:c r="L84" s="57" t="n">
        <x:f>J84*'Hypothèses &amp; sources'!$F$4</x:f>
        <x:v>9.01</x:v>
      </x:c>
      <x:c r="M84" s="57" t="n">
        <x:f>J84*'Hypothèses &amp; sources'!$G$4</x:f>
        <x:v>9.350000000000001</x:v>
      </x:c>
      <x:c r="N84" s="57" t="n">
        <x:f>J84*'Hypothèses &amp; sources'!$H$4</x:f>
        <x:v>9.435</x:v>
      </x:c>
      <x:c r="O84" s="57" t="n">
        <x:f>J84*'Hypothèses &amp; sources'!$I$4</x:f>
        <x:v>10.54</x:v>
      </x:c>
      <x:c r="P84" s="57" t="str">
        <x:v>Lidl</x:v>
      </x:c>
      <x:c r="Q84" s="57" t="n">
        <x:f>IF(P84="Lidl",K84,IF(P84="Super U",L84,IF(P84="Carrefour",M84,IF(P84="Auchan",N84,O84))))</x:f>
        <x:v>8.5</x:v>
      </x:c>
      <x:c r="R84" s="57" t="n">
        <x:f>Q84/'Hypothèses &amp; sources'!$B$4</x:f>
        <x:v>2.125</x:v>
      </x:c>
      <x:c r="S84" s="56" t="n">
        <x:f>MAX(0,'Hypothèses &amp; sources'!$B$5*MAX(0,MIN(100,'Hypothèses &amp; sources'!$B$10-R84*'Hypothèses &amp; sources'!$B$9))+'Hypothèses &amp; sources'!$B$6*(G84/5*100)+'Hypothèses &amp; sources'!$B$7*(H84/5*100)+'Hypothèses &amp; sources'!$B$8*MAX(0,MIN(100,'Hypothèses &amp; sources'!$B$12-E84*'Hypothèses &amp; sources'!$B$11))-T84)</x:f>
        <x:v>77.85000000000001</x:v>
      </x:c>
      <x:c r="T84" s="33" t="n">
        <x:v>0</x:v>
      </x:c>
    </x:row>
    <x:row r="85">
      <x:c r="A85" s="33" t="n">
        <x:v>81</x:v>
      </x:c>
      <x:c r="B85" s="38" t="str">
        <x:v>Pork chile verde</x:v>
      </x:c>
      <x:c r="C85" s="38" t="str">
        <x:v>Plat complet</x:v>
      </x:c>
      <x:c r="D85" s="38" t="str">
        <x:v>piment / chili, porc</x:v>
      </x:c>
      <x:c r="E85" s="33" t="n">
        <x:v>20</x:v>
      </x:c>
      <x:c r="F85" s="33" t="n">
        <x:v>40</x:v>
      </x:c>
      <x:c r="G85" s="56" t="n">
        <x:v>3.9</x:v>
      </x:c>
      <x:c r="H85" s="56" t="n">
        <x:v>3.1</x:v>
      </x:c>
      <x:c r="I85" s="33" t="n">
        <x:v>0</x:v>
      </x:c>
      <x:c r="J85" s="57" t="n">
        <x:v>8.6</x:v>
      </x:c>
      <x:c r="K85" s="57" t="n">
        <x:f>J85*'Hypothèses &amp; sources'!$E$4</x:f>
        <x:v>8.6</x:v>
      </x:c>
      <x:c r="L85" s="57" t="n">
        <x:f>J85*'Hypothèses &amp; sources'!$F$4</x:f>
        <x:v>9.116</x:v>
      </x:c>
      <x:c r="M85" s="57" t="n">
        <x:f>J85*'Hypothèses &amp; sources'!$G$4</x:f>
        <x:v>9.46</x:v>
      </x:c>
      <x:c r="N85" s="57" t="n">
        <x:f>J85*'Hypothèses &amp; sources'!$H$4</x:f>
        <x:v>9.546000000000001</x:v>
      </x:c>
      <x:c r="O85" s="57" t="n">
        <x:f>J85*'Hypothèses &amp; sources'!$I$4</x:f>
        <x:v>10.664</x:v>
      </x:c>
      <x:c r="P85" s="57" t="str">
        <x:v>Lidl</x:v>
      </x:c>
      <x:c r="Q85" s="57" t="n">
        <x:f>IF(P85="Lidl",K85,IF(P85="Super U",L85,IF(P85="Carrefour",M85,IF(P85="Auchan",N85,O85))))</x:f>
        <x:v>8.6</x:v>
      </x:c>
      <x:c r="R85" s="57" t="n">
        <x:f>Q85/'Hypothèses &amp; sources'!$B$4</x:f>
        <x:v>2.15</x:v>
      </x:c>
      <x:c r="S85" s="56" t="n">
        <x:f>MAX(0,'Hypothèses &amp; sources'!$B$5*MAX(0,MIN(100,'Hypothèses &amp; sources'!$B$10-R85*'Hypothèses &amp; sources'!$B$9))+'Hypothèses &amp; sources'!$B$6*(G85/5*100)+'Hypothèses &amp; sources'!$B$7*(H85/5*100)+'Hypothèses &amp; sources'!$B$8*MAX(0,MIN(100,'Hypothèses &amp; sources'!$B$12-E85*'Hypothèses &amp; sources'!$B$11))-T85)</x:f>
        <x:v>76.284</x:v>
      </x:c>
      <x:c r="T85" s="33" t="n">
        <x:v>0</x:v>
      </x:c>
    </x:row>
    <x:row r="86">
      <x:c r="A86" s="33" t="n">
        <x:v>82</x:v>
      </x:c>
      <x:c r="B86" s="38" t="str">
        <x:v>Chinese takeout-style tofu and broccoli</x:v>
      </x:c>
      <x:c r="C86" s="38" t="str">
        <x:v>Plat complet / végétarien</x:v>
      </x:c>
      <x:c r="D86" s="38" t="str">
        <x:v>tofu, brocoli, riz, sauce soja, ail, gingembre, sésame</x:v>
      </x:c>
      <x:c r="E86" s="33" t="n">
        <x:v>15</x:v>
      </x:c>
      <x:c r="F86" s="33" t="n">
        <x:v>30</x:v>
      </x:c>
      <x:c r="G86" s="56" t="n">
        <x:v>4.1</x:v>
      </x:c>
      <x:c r="H86" s="56" t="n">
        <x:v>4.6</x:v>
      </x:c>
      <x:c r="I86" s="33" t="n">
        <x:v>1</x:v>
      </x:c>
      <x:c r="J86" s="57" t="n">
        <x:v>8.3</x:v>
      </x:c>
      <x:c r="K86" s="57" t="n">
        <x:f>J86*'Hypothèses &amp; sources'!$E$4</x:f>
        <x:v>8.3</x:v>
      </x:c>
      <x:c r="L86" s="57" t="n">
        <x:f>J86*'Hypothèses &amp; sources'!$F$4</x:f>
        <x:v>8.798000000000002</x:v>
      </x:c>
      <x:c r="M86" s="57" t="n">
        <x:f>J86*'Hypothèses &amp; sources'!$G$4</x:f>
        <x:v>9.13</x:v>
      </x:c>
      <x:c r="N86" s="57" t="n">
        <x:f>J86*'Hypothèses &amp; sources'!$H$4</x:f>
        <x:v>9.213000000000001</x:v>
      </x:c>
      <x:c r="O86" s="57" t="n">
        <x:f>J86*'Hypothèses &amp; sources'!$I$4</x:f>
        <x:v>10.292000000000002</x:v>
      </x:c>
      <x:c r="P86" s="57" t="str">
        <x:v>Super U</x:v>
      </x:c>
      <x:c r="Q86" s="57" t="n">
        <x:f>IF(P86="Lidl",K86,IF(P86="Super U",L86,IF(P86="Carrefour",M86,IF(P86="Auchan",N86,O86))))</x:f>
        <x:v>8.798000000000002</x:v>
      </x:c>
      <x:c r="R86" s="57" t="n">
        <x:f>Q86/'Hypothèses &amp; sources'!$B$4</x:f>
        <x:v>2.1995000000000005</x:v>
      </x:c>
      <x:c r="S86" s="56" t="n">
        <x:f>MAX(0,'Hypothèses &amp; sources'!$B$5*MAX(0,MIN(100,'Hypothèses &amp; sources'!$B$10-R86*'Hypothèses &amp; sources'!$B$9))+'Hypothèses &amp; sources'!$B$6*(G86/5*100)+'Hypothèses &amp; sources'!$B$7*(H86/5*100)+'Hypothèses &amp; sources'!$B$8*MAX(0,MIN(100,'Hypothèses &amp; sources'!$B$12-E86*'Hypothèses &amp; sources'!$B$11))-T86)</x:f>
        <x:v>83.87451999999999</x:v>
      </x:c>
      <x:c r="T86" s="33" t="n">
        <x:v>0</x:v>
      </x:c>
    </x:row>
    <x:row r="87">
      <x:c r="A87" s="33" t="n">
        <x:v>83</x:v>
      </x:c>
      <x:c r="B87" s="38" t="str">
        <x:v>Easy chicken and rice</x:v>
      </x:c>
      <x:c r="C87" s="38" t="str">
        <x:v>Plat complet</x:v>
      </x:c>
      <x:c r="D87" s="38" t="str">
        <x:v>poulet, riz, bouillon, oignon, carotte, petits pois</x:v>
      </x:c>
      <x:c r="E87" s="33" t="n">
        <x:v>10</x:v>
      </x:c>
      <x:c r="F87" s="33" t="n">
        <x:v>35</x:v>
      </x:c>
      <x:c r="G87" s="56" t="n">
        <x:v>4.6</x:v>
      </x:c>
      <x:c r="H87" s="56" t="n">
        <x:v>4</x:v>
      </x:c>
      <x:c r="I87" s="33" t="n">
        <x:v>0</x:v>
      </x:c>
      <x:c r="J87" s="57" t="n">
        <x:v>8.8</x:v>
      </x:c>
      <x:c r="K87" s="57" t="n">
        <x:f>J87*'Hypothèses &amp; sources'!$E$4</x:f>
        <x:v>8.8</x:v>
      </x:c>
      <x:c r="L87" s="57" t="n">
        <x:f>J87*'Hypothèses &amp; sources'!$F$4</x:f>
        <x:v>9.328000000000001</x:v>
      </x:c>
      <x:c r="M87" s="57" t="n">
        <x:f>J87*'Hypothèses &amp; sources'!$G$4</x:f>
        <x:v>9.680000000000001</x:v>
      </x:c>
      <x:c r="N87" s="57" t="n">
        <x:f>J87*'Hypothèses &amp; sources'!$H$4</x:f>
        <x:v>9.768000000000002</x:v>
      </x:c>
      <x:c r="O87" s="57" t="n">
        <x:f>J87*'Hypothèses &amp; sources'!$I$4</x:f>
        <x:v>10.912</x:v>
      </x:c>
      <x:c r="P87" s="57" t="str">
        <x:v>Lidl</x:v>
      </x:c>
      <x:c r="Q87" s="57" t="n">
        <x:f>IF(P87="Lidl",K87,IF(P87="Super U",L87,IF(P87="Carrefour",M87,IF(P87="Auchan",N87,O87))))</x:f>
        <x:v>8.8</x:v>
      </x:c>
      <x:c r="R87" s="57" t="n">
        <x:f>Q87/'Hypothèses &amp; sources'!$B$4</x:f>
        <x:v>2.2</x:v>
      </x:c>
      <x:c r="S87" s="56" t="n">
        <x:f>MAX(0,'Hypothèses &amp; sources'!$B$5*MAX(0,MIN(100,'Hypothèses &amp; sources'!$B$10-R87*'Hypothèses &amp; sources'!$B$9))+'Hypothèses &amp; sources'!$B$6*(G87/5*100)+'Hypothèses &amp; sources'!$B$7*(H87/5*100)+'Hypothèses &amp; sources'!$B$8*MAX(0,MIN(100,'Hypothèses &amp; sources'!$B$12-E87*'Hypothèses &amp; sources'!$B$11))-T87)</x:f>
        <x:v>85.832</x:v>
      </x:c>
      <x:c r="T87" s="33" t="n">
        <x:v>0</x:v>
      </x:c>
    </x:row>
    <x:row r="88">
      <x:c r="A88" s="33" t="n">
        <x:v>84</x:v>
      </x:c>
      <x:c r="B88" s="38" t="str">
        <x:v>Autumn apple chicken</x:v>
      </x:c>
      <x:c r="C88" s="38" t="str">
        <x:v>Plat complet</x:v>
      </x:c>
      <x:c r="D88" s="38" t="str">
        <x:v>pommes, poulet</x:v>
      </x:c>
      <x:c r="E88" s="33" t="n">
        <x:v>20</x:v>
      </x:c>
      <x:c r="F88" s="33" t="n">
        <x:v>40</x:v>
      </x:c>
      <x:c r="G88" s="56" t="n">
        <x:v>3.9</x:v>
      </x:c>
      <x:c r="H88" s="56" t="n">
        <x:v>3.5</x:v>
      </x:c>
      <x:c r="I88" s="33" t="n">
        <x:v>0</x:v>
      </x:c>
      <x:c r="J88" s="57" t="n">
        <x:v>8.8</x:v>
      </x:c>
      <x:c r="K88" s="57" t="n">
        <x:f>J88*'Hypothèses &amp; sources'!$E$4</x:f>
        <x:v>8.8</x:v>
      </x:c>
      <x:c r="L88" s="57" t="n">
        <x:f>J88*'Hypothèses &amp; sources'!$F$4</x:f>
        <x:v>9.328000000000001</x:v>
      </x:c>
      <x:c r="M88" s="57" t="n">
        <x:f>J88*'Hypothèses &amp; sources'!$G$4</x:f>
        <x:v>9.680000000000001</x:v>
      </x:c>
      <x:c r="N88" s="57" t="n">
        <x:f>J88*'Hypothèses &amp; sources'!$H$4</x:f>
        <x:v>9.768000000000002</x:v>
      </x:c>
      <x:c r="O88" s="57" t="n">
        <x:f>J88*'Hypothèses &amp; sources'!$I$4</x:f>
        <x:v>10.912</x:v>
      </x:c>
      <x:c r="P88" s="57" t="str">
        <x:v>Lidl</x:v>
      </x:c>
      <x:c r="Q88" s="57" t="n">
        <x:f>IF(P88="Lidl",K88,IF(P88="Super U",L88,IF(P88="Carrefour",M88,IF(P88="Auchan",N88,O88))))</x:f>
        <x:v>8.8</x:v>
      </x:c>
      <x:c r="R88" s="57" t="n">
        <x:f>Q88/'Hypothèses &amp; sources'!$B$4</x:f>
        <x:v>2.2</x:v>
      </x:c>
      <x:c r="S88" s="56" t="n">
        <x:f>MAX(0,'Hypothèses &amp; sources'!$B$5*MAX(0,MIN(100,'Hypothèses &amp; sources'!$B$10-R88*'Hypothèses &amp; sources'!$B$9))+'Hypothèses &amp; sources'!$B$6*(G88/5*100)+'Hypothèses &amp; sources'!$B$7*(H88/5*100)+'Hypothèses &amp; sources'!$B$8*MAX(0,MIN(100,'Hypothèses &amp; sources'!$B$12-E88*'Hypothèses &amp; sources'!$B$11))-T88)</x:f>
        <x:v>77.472</x:v>
      </x:c>
      <x:c r="T88" s="33" t="n">
        <x:v>0</x:v>
      </x:c>
    </x:row>
    <x:row r="89">
      <x:c r="A89" s="33" t="n">
        <x:v>85</x:v>
      </x:c>
      <x:c r="B89" s="38" t="str">
        <x:v>Salsa chicken</x:v>
      </x:c>
      <x:c r="C89" s="38" t="str">
        <x:v>Plat complet</x:v>
      </x:c>
      <x:c r="D89" s="38" t="str">
        <x:v>poulet, tomate, citron vert, coriandre</x:v>
      </x:c>
      <x:c r="E89" s="33" t="n">
        <x:v>20</x:v>
      </x:c>
      <x:c r="F89" s="33" t="n">
        <x:v>40</x:v>
      </x:c>
      <x:c r="G89" s="56" t="n">
        <x:v>3.9</x:v>
      </x:c>
      <x:c r="H89" s="56" t="n">
        <x:v>3.5</x:v>
      </x:c>
      <x:c r="I89" s="33" t="n">
        <x:v>0</x:v>
      </x:c>
      <x:c r="J89" s="57" t="n">
        <x:v>9.1</x:v>
      </x:c>
      <x:c r="K89" s="57" t="n">
        <x:f>J89*'Hypothèses &amp; sources'!$E$4</x:f>
        <x:v>9.1</x:v>
      </x:c>
      <x:c r="L89" s="57" t="n">
        <x:f>J89*'Hypothèses &amp; sources'!$F$4</x:f>
        <x:v>9.646</x:v>
      </x:c>
      <x:c r="M89" s="57" t="n">
        <x:f>J89*'Hypothèses &amp; sources'!$G$4</x:f>
        <x:v>10.01</x:v>
      </x:c>
      <x:c r="N89" s="57" t="n">
        <x:f>J89*'Hypothèses &amp; sources'!$H$4</x:f>
        <x:v>10.101</x:v>
      </x:c>
      <x:c r="O89" s="57" t="n">
        <x:f>J89*'Hypothèses &amp; sources'!$I$4</x:f>
        <x:v>11.283999999999999</x:v>
      </x:c>
      <x:c r="P89" s="57" t="str">
        <x:v>Lidl</x:v>
      </x:c>
      <x:c r="Q89" s="57" t="n">
        <x:f>IF(P89="Lidl",K89,IF(P89="Super U",L89,IF(P89="Carrefour",M89,IF(P89="Auchan",N89,O89))))</x:f>
        <x:v>9.1</x:v>
      </x:c>
      <x:c r="R89" s="57" t="n">
        <x:f>Q89/'Hypothèses &amp; sources'!$B$4</x:f>
        <x:v>2.275</x:v>
      </x:c>
      <x:c r="S89" s="56" t="n">
        <x:f>MAX(0,'Hypothèses &amp; sources'!$B$5*MAX(0,MIN(100,'Hypothèses &amp; sources'!$B$10-R89*'Hypothèses &amp; sources'!$B$9))+'Hypothèses &amp; sources'!$B$6*(G89/5*100)+'Hypothèses &amp; sources'!$B$7*(H89/5*100)+'Hypothèses &amp; sources'!$B$8*MAX(0,MIN(100,'Hypothèses &amp; sources'!$B$12-E89*'Hypothèses &amp; sources'!$B$11))-T89)</x:f>
        <x:v>77.09400000000001</x:v>
      </x:c>
      <x:c r="T89" s="33" t="n">
        <x:v>0</x:v>
      </x:c>
    </x:row>
    <x:row r="90">
      <x:c r="A90" s="33" t="n">
        <x:v>86</x:v>
      </x:c>
      <x:c r="B90" s="38" t="str">
        <x:v>Saucisses et poivrons</x:v>
      </x:c>
      <x:c r="C90" s="38" t="str">
        <x:v>Plat complet</x:v>
      </x:c>
      <x:c r="D90" s="38" t="str">
        <x:v>poivrons, charcuterie / saucisse</x:v>
      </x:c>
      <x:c r="E90" s="33" t="n">
        <x:v>20</x:v>
      </x:c>
      <x:c r="F90" s="33" t="n">
        <x:v>40</x:v>
      </x:c>
      <x:c r="G90" s="56" t="n">
        <x:v>3.9</x:v>
      </x:c>
      <x:c r="H90" s="56" t="n">
        <x:v>2.7</x:v>
      </x:c>
      <x:c r="I90" s="33" t="n">
        <x:v>0</x:v>
      </x:c>
      <x:c r="J90" s="57" t="n">
        <x:v>9.4</x:v>
      </x:c>
      <x:c r="K90" s="57" t="n">
        <x:f>J90*'Hypothèses &amp; sources'!$E$4</x:f>
        <x:v>9.4</x:v>
      </x:c>
      <x:c r="L90" s="57" t="n">
        <x:f>J90*'Hypothèses &amp; sources'!$F$4</x:f>
        <x:v>9.964</x:v>
      </x:c>
      <x:c r="M90" s="57" t="n">
        <x:f>J90*'Hypothèses &amp; sources'!$G$4</x:f>
        <x:v>10.340000000000002</x:v>
      </x:c>
      <x:c r="N90" s="57" t="n">
        <x:f>J90*'Hypothèses &amp; sources'!$H$4</x:f>
        <x:v>10.434000000000001</x:v>
      </x:c>
      <x:c r="O90" s="57" t="n">
        <x:f>J90*'Hypothèses &amp; sources'!$I$4</x:f>
        <x:v>11.656</x:v>
      </x:c>
      <x:c r="P90" s="57" t="str">
        <x:v>Lidl</x:v>
      </x:c>
      <x:c r="Q90" s="57" t="n">
        <x:f>IF(P90="Lidl",K90,IF(P90="Super U",L90,IF(P90="Carrefour",M90,IF(P90="Auchan",N90,O90))))</x:f>
        <x:v>9.4</x:v>
      </x:c>
      <x:c r="R90" s="57" t="n">
        <x:f>Q90/'Hypothèses &amp; sources'!$B$4</x:f>
        <x:v>2.35</x:v>
      </x:c>
      <x:c r="S90" s="56" t="n">
        <x:f>MAX(0,'Hypothèses &amp; sources'!$B$5*MAX(0,MIN(100,'Hypothèses &amp; sources'!$B$10-R90*'Hypothèses &amp; sources'!$B$9))+'Hypothèses &amp; sources'!$B$6*(G90/5*100)+'Hypothèses &amp; sources'!$B$7*(H90/5*100)+'Hypothèses &amp; sources'!$B$8*MAX(0,MIN(100,'Hypothèses &amp; sources'!$B$12-E90*'Hypothèses &amp; sources'!$B$11))-T90)</x:f>
        <x:v>73.836</x:v>
      </x:c>
      <x:c r="T90" s="33" t="n">
        <x:v>0</x:v>
      </x:c>
    </x:row>
    <x:row r="91">
      <x:c r="A91" s="33" t="n">
        <x:v>87</x:v>
      </x:c>
      <x:c r="B91" s="38" t="str">
        <x:v>Quick chicken and bean stew</x:v>
      </x:c>
      <x:c r="C91" s="38" t="str">
        <x:v>Mijoté / poulet</x:v>
      </x:c>
      <x:c r="D91" s="38" t="str">
        <x:v>poulet, haricots blancs, tomates, oignon, carotte, bouillon</x:v>
      </x:c>
      <x:c r="E91" s="33" t="n">
        <x:v>15</x:v>
      </x:c>
      <x:c r="F91" s="33" t="n">
        <x:v>35</x:v>
      </x:c>
      <x:c r="G91" s="56" t="n">
        <x:v>4.8</x:v>
      </x:c>
      <x:c r="H91" s="56" t="n">
        <x:v>4.5</x:v>
      </x:c>
      <x:c r="I91" s="33" t="n">
        <x:v>0</x:v>
      </x:c>
      <x:c r="J91" s="57" t="n">
        <x:v>9.5</x:v>
      </x:c>
      <x:c r="K91" s="57" t="n">
        <x:f>J91*'Hypothèses &amp; sources'!$E$4</x:f>
        <x:v>9.5</x:v>
      </x:c>
      <x:c r="L91" s="57" t="n">
        <x:f>J91*'Hypothèses &amp; sources'!$F$4</x:f>
        <x:v>10.07</x:v>
      </x:c>
      <x:c r="M91" s="57" t="n">
        <x:f>J91*'Hypothèses &amp; sources'!$G$4</x:f>
        <x:v>10.450000000000001</x:v>
      </x:c>
      <x:c r="N91" s="57" t="n">
        <x:f>J91*'Hypothèses &amp; sources'!$H$4</x:f>
        <x:v>10.545000000000002</x:v>
      </x:c>
      <x:c r="O91" s="57" t="n">
        <x:f>J91*'Hypothèses &amp; sources'!$I$4</x:f>
        <x:v>11.78</x:v>
      </x:c>
      <x:c r="P91" s="57" t="str">
        <x:v>Lidl</x:v>
      </x:c>
      <x:c r="Q91" s="57" t="n">
        <x:f>IF(P91="Lidl",K91,IF(P91="Super U",L91,IF(P91="Carrefour",M91,IF(P91="Auchan",N91,O91))))</x:f>
        <x:v>9.5</x:v>
      </x:c>
      <x:c r="R91" s="57" t="n">
        <x:f>Q91/'Hypothèses &amp; sources'!$B$4</x:f>
        <x:v>2.375</x:v>
      </x:c>
      <x:c r="S91" s="56" t="n">
        <x:f>MAX(0,'Hypothèses &amp; sources'!$B$5*MAX(0,MIN(100,'Hypothèses &amp; sources'!$B$10-R91*'Hypothèses &amp; sources'!$B$9))+'Hypothèses &amp; sources'!$B$6*(G91/5*100)+'Hypothèses &amp; sources'!$B$7*(H91/5*100)+'Hypothèses &amp; sources'!$B$8*MAX(0,MIN(100,'Hypothèses &amp; sources'!$B$12-E91*'Hypothèses &amp; sources'!$B$11))-T91)</x:f>
        <x:v>86.55</x:v>
      </x:c>
      <x:c r="T91" s="33" t="n">
        <x:v>0</x:v>
      </x:c>
    </x:row>
    <x:row r="92">
      <x:c r="A92" s="33" t="n">
        <x:v>88</x:v>
      </x:c>
      <x:c r="B92" s="38" t="str">
        <x:v>Poulet au beurre de noix de cajou</x:v>
      </x:c>
      <x:c r="C92" s="38" t="str">
        <x:v>Plat complet</x:v>
      </x:c>
      <x:c r="D92" s="38" t="str">
        <x:v>poulet, beurre / noix</x:v>
      </x:c>
      <x:c r="E92" s="33" t="n">
        <x:v>20</x:v>
      </x:c>
      <x:c r="F92" s="33" t="n">
        <x:v>40</x:v>
      </x:c>
      <x:c r="G92" s="56" t="n">
        <x:v>4.3</x:v>
      </x:c>
      <x:c r="H92" s="56" t="n">
        <x:v>3.5</x:v>
      </x:c>
      <x:c r="I92" s="33" t="n">
        <x:v>0</x:v>
      </x:c>
      <x:c r="J92" s="57" t="n">
        <x:v>9.5</x:v>
      </x:c>
      <x:c r="K92" s="57" t="n">
        <x:f>J92*'Hypothèses &amp; sources'!$E$4</x:f>
        <x:v>9.5</x:v>
      </x:c>
      <x:c r="L92" s="57" t="n">
        <x:f>J92*'Hypothèses &amp; sources'!$F$4</x:f>
        <x:v>10.07</x:v>
      </x:c>
      <x:c r="M92" s="57" t="n">
        <x:f>J92*'Hypothèses &amp; sources'!$G$4</x:f>
        <x:v>10.450000000000001</x:v>
      </x:c>
      <x:c r="N92" s="57" t="n">
        <x:f>J92*'Hypothèses &amp; sources'!$H$4</x:f>
        <x:v>10.545000000000002</x:v>
      </x:c>
      <x:c r="O92" s="57" t="n">
        <x:f>J92*'Hypothèses &amp; sources'!$I$4</x:f>
        <x:v>11.78</x:v>
      </x:c>
      <x:c r="P92" s="57" t="str">
        <x:v>Lidl</x:v>
      </x:c>
      <x:c r="Q92" s="57" t="n">
        <x:f>IF(P92="Lidl",K92,IF(P92="Super U",L92,IF(P92="Carrefour",M92,IF(P92="Auchan",N92,O92))))</x:f>
        <x:v>9.5</x:v>
      </x:c>
      <x:c r="R92" s="57" t="n">
        <x:f>Q92/'Hypothèses &amp; sources'!$B$4</x:f>
        <x:v>2.375</x:v>
      </x:c>
      <x:c r="S92" s="56" t="n">
        <x:f>MAX(0,'Hypothèses &amp; sources'!$B$5*MAX(0,MIN(100,'Hypothèses &amp; sources'!$B$10-R92*'Hypothèses &amp; sources'!$B$9))+'Hypothèses &amp; sources'!$B$6*(G92/5*100)+'Hypothèses &amp; sources'!$B$7*(H92/5*100)+'Hypothèses &amp; sources'!$B$8*MAX(0,MIN(100,'Hypothèses &amp; sources'!$B$12-E92*'Hypothèses &amp; sources'!$B$11))-T92)</x:f>
        <x:v>78.83</x:v>
      </x:c>
      <x:c r="T92" s="33" t="n">
        <x:v>0</x:v>
      </x:c>
    </x:row>
    <x:row r="93">
      <x:c r="A93" s="33" t="n">
        <x:v>89</x:v>
      </x:c>
      <x:c r="B93" s="38" t="str">
        <x:v>Cilantro lemon wings</x:v>
      </x:c>
      <x:c r="C93" s="38" t="str">
        <x:v>Poulet / ailes</x:v>
      </x:c>
      <x:c r="D93" s="38" t="str">
        <x:v>ailes de poulet, coriandre, citron, ail, huile, épices</x:v>
      </x:c>
      <x:c r="E93" s="33" t="n">
        <x:v>15</x:v>
      </x:c>
      <x:c r="F93" s="33" t="n">
        <x:v>35</x:v>
      </x:c>
      <x:c r="G93" s="56" t="n">
        <x:v>4.1</x:v>
      </x:c>
      <x:c r="H93" s="56" t="n">
        <x:v>3.3</x:v>
      </x:c>
      <x:c r="I93" s="33" t="n">
        <x:v>0</x:v>
      </x:c>
      <x:c r="J93" s="57" t="n">
        <x:v>9.5</x:v>
      </x:c>
      <x:c r="K93" s="57" t="n">
        <x:f>J93*'Hypothèses &amp; sources'!$E$4</x:f>
        <x:v>9.5</x:v>
      </x:c>
      <x:c r="L93" s="57" t="n">
        <x:f>J93*'Hypothèses &amp; sources'!$F$4</x:f>
        <x:v>10.07</x:v>
      </x:c>
      <x:c r="M93" s="57" t="n">
        <x:f>J93*'Hypothèses &amp; sources'!$G$4</x:f>
        <x:v>10.450000000000001</x:v>
      </x:c>
      <x:c r="N93" s="57" t="n">
        <x:f>J93*'Hypothèses &amp; sources'!$H$4</x:f>
        <x:v>10.545000000000002</x:v>
      </x:c>
      <x:c r="O93" s="57" t="n">
        <x:f>J93*'Hypothèses &amp; sources'!$I$4</x:f>
        <x:v>11.78</x:v>
      </x:c>
      <x:c r="P93" s="57" t="str">
        <x:v>Lidl</x:v>
      </x:c>
      <x:c r="Q93" s="57" t="n">
        <x:f>IF(P93="Lidl",K93,IF(P93="Super U",L93,IF(P93="Carrefour",M93,IF(P93="Auchan",N93,O93))))</x:f>
        <x:v>9.5</x:v>
      </x:c>
      <x:c r="R93" s="57" t="n">
        <x:f>Q93/'Hypothèses &amp; sources'!$B$4</x:f>
        <x:v>2.375</x:v>
      </x:c>
      <x:c r="S93" s="56" t="n">
        <x:f>MAX(0,'Hypothèses &amp; sources'!$B$5*MAX(0,MIN(100,'Hypothèses &amp; sources'!$B$10-R93*'Hypothèses &amp; sources'!$B$9))+'Hypothèses &amp; sources'!$B$6*(G93/5*100)+'Hypothèses &amp; sources'!$B$7*(H93/5*100)+'Hypothèses &amp; sources'!$B$8*MAX(0,MIN(100,'Hypothèses &amp; sources'!$B$12-E93*'Hypothèses &amp; sources'!$B$11))-T93)</x:f>
        <x:v>78.30999999999999</x:v>
      </x:c>
      <x:c r="T93" s="33" t="n">
        <x:v>0</x:v>
      </x:c>
    </x:row>
    <x:row r="94">
      <x:c r="A94" s="33" t="n">
        <x:v>90</x:v>
      </x:c>
      <x:c r="B94" s="38" t="str">
        <x:v>Pierogi casserole</x:v>
      </x:c>
      <x:c r="C94" s="38" t="str">
        <x:v>Gratin / farci</x:v>
      </x:c>
      <x:c r="D94" s="38" t="str">
        <x:v>pierogi, oignon, crème, fromage, bacon</x:v>
      </x:c>
      <x:c r="E94" s="33" t="n">
        <x:v>15</x:v>
      </x:c>
      <x:c r="F94" s="33" t="n">
        <x:v>45</x:v>
      </x:c>
      <x:c r="G94" s="56" t="n">
        <x:v>4.4</x:v>
      </x:c>
      <x:c r="H94" s="56" t="n">
        <x:v>2.7</x:v>
      </x:c>
      <x:c r="I94" s="33" t="n">
        <x:v>1</x:v>
      </x:c>
      <x:c r="J94" s="57" t="n">
        <x:v>9</x:v>
      </x:c>
      <x:c r="K94" s="57" t="n">
        <x:f>J94*'Hypothèses &amp; sources'!$E$4</x:f>
        <x:v>9</x:v>
      </x:c>
      <x:c r="L94" s="57" t="n">
        <x:f>J94*'Hypothèses &amp; sources'!$F$4</x:f>
        <x:v>9.540000000000001</x:v>
      </x:c>
      <x:c r="M94" s="57" t="n">
        <x:f>J94*'Hypothèses &amp; sources'!$G$4</x:f>
        <x:v>9.9</x:v>
      </x:c>
      <x:c r="N94" s="57" t="n">
        <x:f>J94*'Hypothèses &amp; sources'!$H$4</x:f>
        <x:v>9.99</x:v>
      </x:c>
      <x:c r="O94" s="57" t="n">
        <x:f>J94*'Hypothèses &amp; sources'!$I$4</x:f>
        <x:v>11.16</x:v>
      </x:c>
      <x:c r="P94" s="57" t="str">
        <x:v>Super U</x:v>
      </x:c>
      <x:c r="Q94" s="57" t="n">
        <x:f>IF(P94="Lidl",K94,IF(P94="Super U",L94,IF(P94="Carrefour",M94,IF(P94="Auchan",N94,O94))))</x:f>
        <x:v>9.540000000000001</x:v>
      </x:c>
      <x:c r="R94" s="57" t="n">
        <x:f>Q94/'Hypothèses &amp; sources'!$B$4</x:f>
        <x:v>2.3850000000000002</x:v>
      </x:c>
      <x:c r="S94" s="56" t="n">
        <x:f>MAX(0,'Hypothèses &amp; sources'!$B$5*MAX(0,MIN(100,'Hypothèses &amp; sources'!$B$10-R94*'Hypothèses &amp; sources'!$B$9))+'Hypothèses &amp; sources'!$B$6*(G94/5*100)+'Hypothèses &amp; sources'!$B$7*(H94/5*100)+'Hypothèses &amp; sources'!$B$8*MAX(0,MIN(100,'Hypothèses &amp; sources'!$B$12-E94*'Hypothèses &amp; sources'!$B$11))-T94)</x:f>
        <x:v>77.7796</x:v>
      </x:c>
      <x:c r="T94" s="33" t="n">
        <x:v>0</x:v>
      </x:c>
    </x:row>
    <x:row r="95">
      <x:c r="A95" s="33" t="n">
        <x:v>91</x:v>
      </x:c>
      <x:c r="B95" s="38" t="str">
        <x:v>Vietnamese sandwich / banh mi</x:v>
      </x:c>
      <x:c r="C95" s="38" t="str">
        <x:v>Sandwich</x:v>
      </x:c>
      <x:c r="D95" s="38" t="str">
        <x:v>baguette, porc ou poulet, carotte, concombre, coriandre, sauce</x:v>
      </x:c>
      <x:c r="E95" s="33" t="n">
        <x:v>25</x:v>
      </x:c>
      <x:c r="F95" s="33" t="n">
        <x:v>40</x:v>
      </x:c>
      <x:c r="G95" s="56" t="n">
        <x:v>4</x:v>
      </x:c>
      <x:c r="H95" s="56" t="n">
        <x:v>4</x:v>
      </x:c>
      <x:c r="I95" s="33" t="n">
        <x:v>1</x:v>
      </x:c>
      <x:c r="J95" s="57" t="n">
        <x:v>9</x:v>
      </x:c>
      <x:c r="K95" s="57" t="n">
        <x:f>J95*'Hypothèses &amp; sources'!$E$4</x:f>
        <x:v>9</x:v>
      </x:c>
      <x:c r="L95" s="57" t="n">
        <x:f>J95*'Hypothèses &amp; sources'!$F$4</x:f>
        <x:v>9.540000000000001</x:v>
      </x:c>
      <x:c r="M95" s="57" t="n">
        <x:f>J95*'Hypothèses &amp; sources'!$G$4</x:f>
        <x:v>9.9</x:v>
      </x:c>
      <x:c r="N95" s="57" t="n">
        <x:f>J95*'Hypothèses &amp; sources'!$H$4</x:f>
        <x:v>9.99</x:v>
      </x:c>
      <x:c r="O95" s="57" t="n">
        <x:f>J95*'Hypothèses &amp; sources'!$I$4</x:f>
        <x:v>11.16</x:v>
      </x:c>
      <x:c r="P95" s="57" t="str">
        <x:v>Super U</x:v>
      </x:c>
      <x:c r="Q95" s="57" t="n">
        <x:f>IF(P95="Lidl",K95,IF(P95="Super U",L95,IF(P95="Carrefour",M95,IF(P95="Auchan",N95,O95))))</x:f>
        <x:v>9.540000000000001</x:v>
      </x:c>
      <x:c r="R95" s="57" t="n">
        <x:f>Q95/'Hypothèses &amp; sources'!$B$4</x:f>
        <x:v>2.3850000000000002</x:v>
      </x:c>
      <x:c r="S95" s="56" t="n">
        <x:f>MAX(0,'Hypothèses &amp; sources'!$B$5*MAX(0,MIN(100,'Hypothèses &amp; sources'!$B$10-R95*'Hypothèses &amp; sources'!$B$9))+'Hypothèses &amp; sources'!$B$6*(G95/5*100)+'Hypothèses &amp; sources'!$B$7*(H95/5*100)+'Hypothèses &amp; sources'!$B$8*MAX(0,MIN(100,'Hypothèses &amp; sources'!$B$12-E95*'Hypothèses &amp; sources'!$B$11))-T95)</x:f>
        <x:v>77.5796</x:v>
      </x:c>
      <x:c r="T95" s="33" t="n">
        <x:v>0</x:v>
      </x:c>
    </x:row>
    <x:row r="96">
      <x:c r="A96" s="33" t="n">
        <x:v>92</x:v>
      </x:c>
      <x:c r="B96" s="38" t="str">
        <x:v>Minted moroccan chicken wraps</x:v>
      </x:c>
      <x:c r="C96" s="38" t="str">
        <x:v>Tacos / sandwich</x:v>
      </x:c>
      <x:c r="D96" s="38" t="str">
        <x:v>tortillas ou pain, crudités, sauce, poulet</x:v>
      </x:c>
      <x:c r="E96" s="33" t="n">
        <x:v>20</x:v>
      </x:c>
      <x:c r="F96" s="33" t="n">
        <x:v>30</x:v>
      </x:c>
      <x:c r="G96" s="56" t="n">
        <x:v>3.9</x:v>
      </x:c>
      <x:c r="H96" s="56" t="n">
        <x:v>3.5</x:v>
      </x:c>
      <x:c r="I96" s="33" t="n">
        <x:v>0</x:v>
      </x:c>
      <x:c r="J96" s="57" t="n">
        <x:v>9.7</x:v>
      </x:c>
      <x:c r="K96" s="57" t="n">
        <x:f>J96*'Hypothèses &amp; sources'!$E$4</x:f>
        <x:v>9.7</x:v>
      </x:c>
      <x:c r="L96" s="57" t="n">
        <x:f>J96*'Hypothèses &amp; sources'!$F$4</x:f>
        <x:v>10.282</x:v>
      </x:c>
      <x:c r="M96" s="57" t="n">
        <x:f>J96*'Hypothèses &amp; sources'!$G$4</x:f>
        <x:v>10.67</x:v>
      </x:c>
      <x:c r="N96" s="57" t="n">
        <x:f>J96*'Hypothèses &amp; sources'!$H$4</x:f>
        <x:v>10.767</x:v>
      </x:c>
      <x:c r="O96" s="57" t="n">
        <x:f>J96*'Hypothèses &amp; sources'!$I$4</x:f>
        <x:v>12.027999999999999</x:v>
      </x:c>
      <x:c r="P96" s="57" t="str">
        <x:v>Lidl</x:v>
      </x:c>
      <x:c r="Q96" s="57" t="n">
        <x:f>IF(P96="Lidl",K96,IF(P96="Super U",L96,IF(P96="Carrefour",M96,IF(P96="Auchan",N96,O96))))</x:f>
        <x:v>9.7</x:v>
      </x:c>
      <x:c r="R96" s="57" t="n">
        <x:f>Q96/'Hypothèses &amp; sources'!$B$4</x:f>
        <x:v>2.425</x:v>
      </x:c>
      <x:c r="S96" s="56" t="n">
        <x:f>MAX(0,'Hypothèses &amp; sources'!$B$5*MAX(0,MIN(100,'Hypothèses &amp; sources'!$B$10-R96*'Hypothèses &amp; sources'!$B$9))+'Hypothèses &amp; sources'!$B$6*(G96/5*100)+'Hypothèses &amp; sources'!$B$7*(H96/5*100)+'Hypothèses &amp; sources'!$B$8*MAX(0,MIN(100,'Hypothèses &amp; sources'!$B$12-E96*'Hypothèses &amp; sources'!$B$11))-T96)</x:f>
        <x:v>76.33800000000001</x:v>
      </x:c>
      <x:c r="T96" s="33" t="n">
        <x:v>0</x:v>
      </x:c>
    </x:row>
    <x:row r="97">
      <x:c r="A97" s="33" t="n">
        <x:v>93</x:v>
      </x:c>
      <x:c r="B97" s="38" t="str">
        <x:v>Sandwich au poulet party club</x:v>
      </x:c>
      <x:c r="C97" s="38" t="str">
        <x:v>Tacos / sandwich</x:v>
      </x:c>
      <x:c r="D97" s="38" t="str">
        <x:v>tortillas ou pain, crudités, sauce, poulet</x:v>
      </x:c>
      <x:c r="E97" s="33" t="n">
        <x:v>20</x:v>
      </x:c>
      <x:c r="F97" s="33" t="n">
        <x:v>30</x:v>
      </x:c>
      <x:c r="G97" s="56" t="n">
        <x:v>3.9</x:v>
      </x:c>
      <x:c r="H97" s="56" t="n">
        <x:v>3.5</x:v>
      </x:c>
      <x:c r="I97" s="33" t="n">
        <x:v>0</x:v>
      </x:c>
      <x:c r="J97" s="57" t="n">
        <x:v>9.7</x:v>
      </x:c>
      <x:c r="K97" s="57" t="n">
        <x:f>J97*'Hypothèses &amp; sources'!$E$4</x:f>
        <x:v>9.7</x:v>
      </x:c>
      <x:c r="L97" s="57" t="n">
        <x:f>J97*'Hypothèses &amp; sources'!$F$4</x:f>
        <x:v>10.282</x:v>
      </x:c>
      <x:c r="M97" s="57" t="n">
        <x:f>J97*'Hypothèses &amp; sources'!$G$4</x:f>
        <x:v>10.67</x:v>
      </x:c>
      <x:c r="N97" s="57" t="n">
        <x:f>J97*'Hypothèses &amp; sources'!$H$4</x:f>
        <x:v>10.767</x:v>
      </x:c>
      <x:c r="O97" s="57" t="n">
        <x:f>J97*'Hypothèses &amp; sources'!$I$4</x:f>
        <x:v>12.027999999999999</x:v>
      </x:c>
      <x:c r="P97" s="57" t="str">
        <x:v>Lidl</x:v>
      </x:c>
      <x:c r="Q97" s="57" t="n">
        <x:f>IF(P97="Lidl",K97,IF(P97="Super U",L97,IF(P97="Carrefour",M97,IF(P97="Auchan",N97,O97))))</x:f>
        <x:v>9.7</x:v>
      </x:c>
      <x:c r="R97" s="57" t="n">
        <x:f>Q97/'Hypothèses &amp; sources'!$B$4</x:f>
        <x:v>2.425</x:v>
      </x:c>
      <x:c r="S97" s="56" t="n">
        <x:f>MAX(0,'Hypothèses &amp; sources'!$B$5*MAX(0,MIN(100,'Hypothèses &amp; sources'!$B$10-R97*'Hypothèses &amp; sources'!$B$9))+'Hypothèses &amp; sources'!$B$6*(G97/5*100)+'Hypothèses &amp; sources'!$B$7*(H97/5*100)+'Hypothèses &amp; sources'!$B$8*MAX(0,MIN(100,'Hypothèses &amp; sources'!$B$12-E97*'Hypothèses &amp; sources'!$B$11))-T97)</x:f>
        <x:v>76.33800000000001</x:v>
      </x:c>
      <x:c r="T97" s="33" t="n">
        <x:v>0</x:v>
      </x:c>
    </x:row>
    <x:row r="98">
      <x:c r="A98" s="33" t="n">
        <x:v>94</x:v>
      </x:c>
      <x:c r="B98" s="38" t="str">
        <x:v>Tacos au poulet effiloché</x:v>
      </x:c>
      <x:c r="C98" s="38" t="str">
        <x:v>Tacos / sandwich</x:v>
      </x:c>
      <x:c r="D98" s="38" t="str">
        <x:v>tortillas ou pain, crudités, sauce, poulet</x:v>
      </x:c>
      <x:c r="E98" s="33" t="n">
        <x:v>20</x:v>
      </x:c>
      <x:c r="F98" s="33" t="n">
        <x:v>30</x:v>
      </x:c>
      <x:c r="G98" s="56" t="n">
        <x:v>3.9</x:v>
      </x:c>
      <x:c r="H98" s="56" t="n">
        <x:v>3.5</x:v>
      </x:c>
      <x:c r="I98" s="33" t="n">
        <x:v>0</x:v>
      </x:c>
      <x:c r="J98" s="57" t="n">
        <x:v>9.7</x:v>
      </x:c>
      <x:c r="K98" s="57" t="n">
        <x:f>J98*'Hypothèses &amp; sources'!$E$4</x:f>
        <x:v>9.7</x:v>
      </x:c>
      <x:c r="L98" s="57" t="n">
        <x:f>J98*'Hypothèses &amp; sources'!$F$4</x:f>
        <x:v>10.282</x:v>
      </x:c>
      <x:c r="M98" s="57" t="n">
        <x:f>J98*'Hypothèses &amp; sources'!$G$4</x:f>
        <x:v>10.67</x:v>
      </x:c>
      <x:c r="N98" s="57" t="n">
        <x:f>J98*'Hypothèses &amp; sources'!$H$4</x:f>
        <x:v>10.767</x:v>
      </x:c>
      <x:c r="O98" s="57" t="n">
        <x:f>J98*'Hypothèses &amp; sources'!$I$4</x:f>
        <x:v>12.027999999999999</x:v>
      </x:c>
      <x:c r="P98" s="57" t="str">
        <x:v>Lidl</x:v>
      </x:c>
      <x:c r="Q98" s="57" t="n">
        <x:f>IF(P98="Lidl",K98,IF(P98="Super U",L98,IF(P98="Carrefour",M98,IF(P98="Auchan",N98,O98))))</x:f>
        <x:v>9.7</x:v>
      </x:c>
      <x:c r="R98" s="57" t="n">
        <x:f>Q98/'Hypothèses &amp; sources'!$B$4</x:f>
        <x:v>2.425</x:v>
      </x:c>
      <x:c r="S98" s="56" t="n">
        <x:f>MAX(0,'Hypothèses &amp; sources'!$B$5*MAX(0,MIN(100,'Hypothèses &amp; sources'!$B$10-R98*'Hypothèses &amp; sources'!$B$9))+'Hypothèses &amp; sources'!$B$6*(G98/5*100)+'Hypothèses &amp; sources'!$B$7*(H98/5*100)+'Hypothèses &amp; sources'!$B$8*MAX(0,MIN(100,'Hypothèses &amp; sources'!$B$12-E98*'Hypothèses &amp; sources'!$B$11))-T98)</x:f>
        <x:v>76.33800000000001</x:v>
      </x:c>
      <x:c r="T98" s="33" t="n">
        <x:v>0</x:v>
      </x:c>
    </x:row>
    <x:row r="99">
      <x:c r="A99" s="33" t="n">
        <x:v>95</x:v>
      </x:c>
      <x:c r="B99" s="38" t="str">
        <x:v>Caldo tlalpeno/soupe au poulet et aux pois chiche</x:v>
      </x:c>
      <x:c r="C99" s="38" t="str">
        <x:v>Soupe / bouillon</x:v>
      </x:c>
      <x:c r="D99" s="38" t="str">
        <x:v>bouillon, oignon, légumineuses, poulet</x:v>
      </x:c>
      <x:c r="E99" s="33" t="n">
        <x:v>15</x:v>
      </x:c>
      <x:c r="F99" s="33" t="n">
        <x:v>35</x:v>
      </x:c>
      <x:c r="G99" s="56" t="n">
        <x:v>4.7</x:v>
      </x:c>
      <x:c r="H99" s="56" t="n">
        <x:v>4.2</x:v>
      </x:c>
      <x:c r="I99" s="33" t="n">
        <x:v>0</x:v>
      </x:c>
      <x:c r="J99" s="57" t="n">
        <x:v>9.8</x:v>
      </x:c>
      <x:c r="K99" s="57" t="n">
        <x:f>J99*'Hypothèses &amp; sources'!$E$4</x:f>
        <x:v>9.8</x:v>
      </x:c>
      <x:c r="L99" s="57" t="n">
        <x:f>J99*'Hypothèses &amp; sources'!$F$4</x:f>
        <x:v>10.388000000000002</x:v>
      </x:c>
      <x:c r="M99" s="57" t="n">
        <x:f>J99*'Hypothèses &amp; sources'!$G$4</x:f>
        <x:v>10.780000000000001</x:v>
      </x:c>
      <x:c r="N99" s="57" t="n">
        <x:f>J99*'Hypothèses &amp; sources'!$H$4</x:f>
        <x:v>10.878000000000002</x:v>
      </x:c>
      <x:c r="O99" s="57" t="n">
        <x:f>J99*'Hypothèses &amp; sources'!$I$4</x:f>
        <x:v>12.152000000000001</x:v>
      </x:c>
      <x:c r="P99" s="57" t="str">
        <x:v>Lidl</x:v>
      </x:c>
      <x:c r="Q99" s="57" t="n">
        <x:f>IF(P99="Lidl",K99,IF(P99="Super U",L99,IF(P99="Carrefour",M99,IF(P99="Auchan",N99,O99))))</x:f>
        <x:v>9.8</x:v>
      </x:c>
      <x:c r="R99" s="57" t="n">
        <x:f>Q99/'Hypothèses &amp; sources'!$B$4</x:f>
        <x:v>2.45</x:v>
      </x:c>
      <x:c r="S99" s="56" t="n">
        <x:f>MAX(0,'Hypothèses &amp; sources'!$B$5*MAX(0,MIN(100,'Hypothèses &amp; sources'!$B$10-R99*'Hypothèses &amp; sources'!$B$9))+'Hypothèses &amp; sources'!$B$6*(G99/5*100)+'Hypothèses &amp; sources'!$B$7*(H99/5*100)+'Hypothèses &amp; sources'!$B$8*MAX(0,MIN(100,'Hypothèses &amp; sources'!$B$12-E99*'Hypothèses &amp; sources'!$B$11))-T99)</x:f>
        <x:v>84.532</x:v>
      </x:c>
      <x:c r="T99" s="33" t="n">
        <x:v>0</x:v>
      </x:c>
    </x:row>
    <x:row r="100">
      <x:c r="A100" s="33" t="n">
        <x:v>96</x:v>
      </x:c>
      <x:c r="B100" s="38" t="str">
        <x:v>Bacon &amp; sausages omelette</x:v>
      </x:c>
      <x:c r="C100" s="38" t="str">
        <x:v>Plat complet</x:v>
      </x:c>
      <x:c r="D100" s="38" t="str">
        <x:v>œufs, charcuterie / saucisse</x:v>
      </x:c>
      <x:c r="E100" s="33" t="n">
        <x:v>10</x:v>
      </x:c>
      <x:c r="F100" s="33" t="n">
        <x:v>25</x:v>
      </x:c>
      <x:c r="G100" s="56" t="n">
        <x:v>4.3</x:v>
      </x:c>
      <x:c r="H100" s="56" t="n">
        <x:v>2.7</x:v>
      </x:c>
      <x:c r="I100" s="33" t="n">
        <x:v>0</x:v>
      </x:c>
      <x:c r="J100" s="57" t="n">
        <x:v>9.8</x:v>
      </x:c>
      <x:c r="K100" s="57" t="n">
        <x:f>J100*'Hypothèses &amp; sources'!$E$4</x:f>
        <x:v>9.8</x:v>
      </x:c>
      <x:c r="L100" s="57" t="n">
        <x:f>J100*'Hypothèses &amp; sources'!$F$4</x:f>
        <x:v>10.388000000000002</x:v>
      </x:c>
      <x:c r="M100" s="57" t="n">
        <x:f>J100*'Hypothèses &amp; sources'!$G$4</x:f>
        <x:v>10.780000000000001</x:v>
      </x:c>
      <x:c r="N100" s="57" t="n">
        <x:f>J100*'Hypothèses &amp; sources'!$H$4</x:f>
        <x:v>10.878000000000002</x:v>
      </x:c>
      <x:c r="O100" s="57" t="n">
        <x:f>J100*'Hypothèses &amp; sources'!$I$4</x:f>
        <x:v>12.152000000000001</x:v>
      </x:c>
      <x:c r="P100" s="57" t="str">
        <x:v>Lidl</x:v>
      </x:c>
      <x:c r="Q100" s="57" t="n">
        <x:f>IF(P100="Lidl",K100,IF(P100="Super U",L100,IF(P100="Carrefour",M100,IF(P100="Auchan",N100,O100))))</x:f>
        <x:v>9.8</x:v>
      </x:c>
      <x:c r="R100" s="57" t="n">
        <x:f>Q100/'Hypothèses &amp; sources'!$B$4</x:f>
        <x:v>2.45</x:v>
      </x:c>
      <x:c r="S100" s="56" t="n">
        <x:f>MAX(0,'Hypothèses &amp; sources'!$B$5*MAX(0,MIN(100,'Hypothèses &amp; sources'!$B$10-R100*'Hypothèses &amp; sources'!$B$9))+'Hypothèses &amp; sources'!$B$6*(G100/5*100)+'Hypothèses &amp; sources'!$B$7*(H100/5*100)+'Hypothèses &amp; sources'!$B$8*MAX(0,MIN(100,'Hypothèses &amp; sources'!$B$12-E100*'Hypothèses &amp; sources'!$B$11))-T100)</x:f>
        <x:v>78.212</x:v>
      </x:c>
      <x:c r="T100" s="33" t="n">
        <x:v>0</x:v>
      </x:c>
    </x:row>
    <x:row r="101">
      <x:c r="A101" s="33" t="n">
        <x:v>97</x:v>
      </x:c>
      <x:c r="B101" s="38" t="str">
        <x:v>Chicken fajita soup</x:v>
      </x:c>
      <x:c r="C101" s="38" t="str">
        <x:v>Soupe / bouillon</x:v>
      </x:c>
      <x:c r="D101" s="38" t="str">
        <x:v>bouillon, oignon, poulet, légumes</x:v>
      </x:c>
      <x:c r="E101" s="33" t="n">
        <x:v>15</x:v>
      </x:c>
      <x:c r="F101" s="33" t="n">
        <x:v>35</x:v>
      </x:c>
      <x:c r="G101" s="56" t="n">
        <x:v>3.9</x:v>
      </x:c>
      <x:c r="H101" s="56" t="n">
        <x:v>3.9</x:v>
      </x:c>
      <x:c r="I101" s="33" t="n">
        <x:v>0</x:v>
      </x:c>
      <x:c r="J101" s="57" t="n">
        <x:v>9.9</x:v>
      </x:c>
      <x:c r="K101" s="57" t="n">
        <x:f>J101*'Hypothèses &amp; sources'!$E$4</x:f>
        <x:v>9.9</x:v>
      </x:c>
      <x:c r="L101" s="57" t="n">
        <x:f>J101*'Hypothèses &amp; sources'!$F$4</x:f>
        <x:v>10.494000000000002</x:v>
      </x:c>
      <x:c r="M101" s="57" t="n">
        <x:f>J101*'Hypothèses &amp; sources'!$G$4</x:f>
        <x:v>10.89</x:v>
      </x:c>
      <x:c r="N101" s="57" t="n">
        <x:f>J101*'Hypothèses &amp; sources'!$H$4</x:f>
        <x:v>10.989</x:v>
      </x:c>
      <x:c r="O101" s="57" t="n">
        <x:f>J101*'Hypothèses &amp; sources'!$I$4</x:f>
        <x:v>12.276</x:v>
      </x:c>
      <x:c r="P101" s="57" t="str">
        <x:v>Lidl</x:v>
      </x:c>
      <x:c r="Q101" s="57" t="n">
        <x:f>IF(P101="Lidl",K101,IF(P101="Super U",L101,IF(P101="Carrefour",M101,IF(P101="Auchan",N101,O101))))</x:f>
        <x:v>9.9</x:v>
      </x:c>
      <x:c r="R101" s="57" t="n">
        <x:f>Q101/'Hypothèses &amp; sources'!$B$4</x:f>
        <x:v>2.475</x:v>
      </x:c>
      <x:c r="S101" s="56" t="n">
        <x:f>MAX(0,'Hypothèses &amp; sources'!$B$5*MAX(0,MIN(100,'Hypothèses &amp; sources'!$B$10-R101*'Hypothèses &amp; sources'!$B$9))+'Hypothèses &amp; sources'!$B$6*(G101/5*100)+'Hypothèses &amp; sources'!$B$7*(H101/5*100)+'Hypothèses &amp; sources'!$B$8*MAX(0,MIN(100,'Hypothèses &amp; sources'!$B$12-E101*'Hypothèses &amp; sources'!$B$11))-T101)</x:f>
        <x:v>78.84599999999999</x:v>
      </x:c>
      <x:c r="T101" s="33" t="n">
        <x:v>0</x:v>
      </x:c>
    </x:row>
    <x:row r="102">
      <x:c r="A102" s="33" t="n">
        <x:v>98</x:v>
      </x:c>
      <x:c r="B102" s="38" t="str">
        <x:v>Congee au poulet</x:v>
      </x:c>
      <x:c r="C102" s="38" t="str">
        <x:v>Soupe / bouillon</x:v>
      </x:c>
      <x:c r="D102" s="38" t="str">
        <x:v>bouillon, oignon, poulet, légumes</x:v>
      </x:c>
      <x:c r="E102" s="33" t="n">
        <x:v>15</x:v>
      </x:c>
      <x:c r="F102" s="33" t="n">
        <x:v>35</x:v>
      </x:c>
      <x:c r="G102" s="56" t="n">
        <x:v>3.9</x:v>
      </x:c>
      <x:c r="H102" s="56" t="n">
        <x:v>3.9</x:v>
      </x:c>
      <x:c r="I102" s="33" t="n">
        <x:v>0</x:v>
      </x:c>
      <x:c r="J102" s="57" t="n">
        <x:v>9.9</x:v>
      </x:c>
      <x:c r="K102" s="57" t="n">
        <x:f>J102*'Hypothèses &amp; sources'!$E$4</x:f>
        <x:v>9.9</x:v>
      </x:c>
      <x:c r="L102" s="57" t="n">
        <x:f>J102*'Hypothèses &amp; sources'!$F$4</x:f>
        <x:v>10.494000000000002</x:v>
      </x:c>
      <x:c r="M102" s="57" t="n">
        <x:f>J102*'Hypothèses &amp; sources'!$G$4</x:f>
        <x:v>10.89</x:v>
      </x:c>
      <x:c r="N102" s="57" t="n">
        <x:f>J102*'Hypothèses &amp; sources'!$H$4</x:f>
        <x:v>10.989</x:v>
      </x:c>
      <x:c r="O102" s="57" t="n">
        <x:f>J102*'Hypothèses &amp; sources'!$I$4</x:f>
        <x:v>12.276</x:v>
      </x:c>
      <x:c r="P102" s="57" t="str">
        <x:v>Lidl</x:v>
      </x:c>
      <x:c r="Q102" s="57" t="n">
        <x:f>IF(P102="Lidl",K102,IF(P102="Super U",L102,IF(P102="Carrefour",M102,IF(P102="Auchan",N102,O102))))</x:f>
        <x:v>9.9</x:v>
      </x:c>
      <x:c r="R102" s="57" t="n">
        <x:f>Q102/'Hypothèses &amp; sources'!$B$4</x:f>
        <x:v>2.475</x:v>
      </x:c>
      <x:c r="S102" s="56" t="n">
        <x:f>MAX(0,'Hypothèses &amp; sources'!$B$5*MAX(0,MIN(100,'Hypothèses &amp; sources'!$B$10-R102*'Hypothèses &amp; sources'!$B$9))+'Hypothèses &amp; sources'!$B$6*(G102/5*100)+'Hypothèses &amp; sources'!$B$7*(H102/5*100)+'Hypothèses &amp; sources'!$B$8*MAX(0,MIN(100,'Hypothèses &amp; sources'!$B$12-E102*'Hypothèses &amp; sources'!$B$11))-T102)</x:f>
        <x:v>78.84599999999999</x:v>
      </x:c>
      <x:c r="T102" s="33" t="n">
        <x:v>0</x:v>
      </x:c>
    </x:row>
    <x:row r="103">
      <x:c r="A103" s="33" t="n">
        <x:v>99</x:v>
      </x:c>
      <x:c r="B103" s="38" t="str">
        <x:v>Green chicken pozole</x:v>
      </x:c>
      <x:c r="C103" s="38" t="str">
        <x:v>Soupe / bouillon</x:v>
      </x:c>
      <x:c r="D103" s="38" t="str">
        <x:v>bouillon, oignon, poulet, légumes</x:v>
      </x:c>
      <x:c r="E103" s="33" t="n">
        <x:v>15</x:v>
      </x:c>
      <x:c r="F103" s="33" t="n">
        <x:v>35</x:v>
      </x:c>
      <x:c r="G103" s="56" t="n">
        <x:v>3.9</x:v>
      </x:c>
      <x:c r="H103" s="56" t="n">
        <x:v>3.9</x:v>
      </x:c>
      <x:c r="I103" s="33" t="n">
        <x:v>0</x:v>
      </x:c>
      <x:c r="J103" s="57" t="n">
        <x:v>9.9</x:v>
      </x:c>
      <x:c r="K103" s="57" t="n">
        <x:f>J103*'Hypothèses &amp; sources'!$E$4</x:f>
        <x:v>9.9</x:v>
      </x:c>
      <x:c r="L103" s="57" t="n">
        <x:f>J103*'Hypothèses &amp; sources'!$F$4</x:f>
        <x:v>10.494000000000002</x:v>
      </x:c>
      <x:c r="M103" s="57" t="n">
        <x:f>J103*'Hypothèses &amp; sources'!$G$4</x:f>
        <x:v>10.89</x:v>
      </x:c>
      <x:c r="N103" s="57" t="n">
        <x:f>J103*'Hypothèses &amp; sources'!$H$4</x:f>
        <x:v>10.989</x:v>
      </x:c>
      <x:c r="O103" s="57" t="n">
        <x:f>J103*'Hypothèses &amp; sources'!$I$4</x:f>
        <x:v>12.276</x:v>
      </x:c>
      <x:c r="P103" s="57" t="str">
        <x:v>Lidl</x:v>
      </x:c>
      <x:c r="Q103" s="57" t="n">
        <x:f>IF(P103="Lidl",K103,IF(P103="Super U",L103,IF(P103="Carrefour",M103,IF(P103="Auchan",N103,O103))))</x:f>
        <x:v>9.9</x:v>
      </x:c>
      <x:c r="R103" s="57" t="n">
        <x:f>Q103/'Hypothèses &amp; sources'!$B$4</x:f>
        <x:v>2.475</x:v>
      </x:c>
      <x:c r="S103" s="56" t="n">
        <x:f>MAX(0,'Hypothèses &amp; sources'!$B$5*MAX(0,MIN(100,'Hypothèses &amp; sources'!$B$10-R103*'Hypothèses &amp; sources'!$B$9))+'Hypothèses &amp; sources'!$B$6*(G103/5*100)+'Hypothèses &amp; sources'!$B$7*(H103/5*100)+'Hypothèses &amp; sources'!$B$8*MAX(0,MIN(100,'Hypothèses &amp; sources'!$B$12-E103*'Hypothèses &amp; sources'!$B$11))-T103)</x:f>
        <x:v>78.84599999999999</x:v>
      </x:c>
      <x:c r="T103" s="33" t="n">
        <x:v>0</x:v>
      </x:c>
    </x:row>
    <x:row r="104">
      <x:c r="A104" s="33" t="n">
        <x:v>100</x:v>
      </x:c>
      <x:c r="B104" s="38" t="str">
        <x:v>Italian chicken soup</x:v>
      </x:c>
      <x:c r="C104" s="38" t="str">
        <x:v>Soupe / bouillon</x:v>
      </x:c>
      <x:c r="D104" s="38" t="str">
        <x:v>bouillon, oignon, poulet, légumes</x:v>
      </x:c>
      <x:c r="E104" s="33" t="n">
        <x:v>15</x:v>
      </x:c>
      <x:c r="F104" s="33" t="n">
        <x:v>35</x:v>
      </x:c>
      <x:c r="G104" s="56" t="n">
        <x:v>3.9</x:v>
      </x:c>
      <x:c r="H104" s="56" t="n">
        <x:v>3.9</x:v>
      </x:c>
      <x:c r="I104" s="33" t="n">
        <x:v>0</x:v>
      </x:c>
      <x:c r="J104" s="57" t="n">
        <x:v>9.9</x:v>
      </x:c>
      <x:c r="K104" s="57" t="n">
        <x:f>J104*'Hypothèses &amp; sources'!$E$4</x:f>
        <x:v>9.9</x:v>
      </x:c>
      <x:c r="L104" s="57" t="n">
        <x:f>J104*'Hypothèses &amp; sources'!$F$4</x:f>
        <x:v>10.494000000000002</x:v>
      </x:c>
      <x:c r="M104" s="57" t="n">
        <x:f>J104*'Hypothèses &amp; sources'!$G$4</x:f>
        <x:v>10.89</x:v>
      </x:c>
      <x:c r="N104" s="57" t="n">
        <x:f>J104*'Hypothèses &amp; sources'!$H$4</x:f>
        <x:v>10.989</x:v>
      </x:c>
      <x:c r="O104" s="57" t="n">
        <x:f>J104*'Hypothèses &amp; sources'!$I$4</x:f>
        <x:v>12.276</x:v>
      </x:c>
      <x:c r="P104" s="57" t="str">
        <x:v>Lidl</x:v>
      </x:c>
      <x:c r="Q104" s="57" t="n">
        <x:f>IF(P104="Lidl",K104,IF(P104="Super U",L104,IF(P104="Carrefour",M104,IF(P104="Auchan",N104,O104))))</x:f>
        <x:v>9.9</x:v>
      </x:c>
      <x:c r="R104" s="57" t="n">
        <x:f>Q104/'Hypothèses &amp; sources'!$B$4</x:f>
        <x:v>2.475</x:v>
      </x:c>
      <x:c r="S104" s="56" t="n">
        <x:f>MAX(0,'Hypothèses &amp; sources'!$B$5*MAX(0,MIN(100,'Hypothèses &amp; sources'!$B$10-R104*'Hypothèses &amp; sources'!$B$9))+'Hypothèses &amp; sources'!$B$6*(G104/5*100)+'Hypothèses &amp; sources'!$B$7*(H104/5*100)+'Hypothèses &amp; sources'!$B$8*MAX(0,MIN(100,'Hypothèses &amp; sources'!$B$12-E104*'Hypothèses &amp; sources'!$B$11))-T104)</x:f>
        <x:v>78.84599999999999</x:v>
      </x:c>
      <x:c r="T104" s="33" t="n">
        <x:v>0</x:v>
      </x:c>
    </x:row>
    <x:row r="105">
      <x:c r="A105" s="33" t="n">
        <x:v>101</x:v>
      </x:c>
      <x:c r="B105" s="38" t="str">
        <x:v>Filet mignon de porc balsamique</x:v>
      </x:c>
      <x:c r="C105" s="38" t="str">
        <x:v>Plat complet</x:v>
      </x:c>
      <x:c r="D105" s="38" t="str">
        <x:v>filet mignon de porc</x:v>
      </x:c>
      <x:c r="E105" s="33" t="n">
        <x:v>20</x:v>
      </x:c>
      <x:c r="F105" s="33" t="n">
        <x:v>40</x:v>
      </x:c>
      <x:c r="G105" s="56" t="n">
        <x:v>3.9</x:v>
      </x:c>
      <x:c r="H105" s="56" t="n">
        <x:v>3.1</x:v>
      </x:c>
      <x:c r="I105" s="33" t="n">
        <x:v>0</x:v>
      </x:c>
      <x:c r="J105" s="57" t="n">
        <x:v>9.9</x:v>
      </x:c>
      <x:c r="K105" s="57" t="n">
        <x:f>J105*'Hypothèses &amp; sources'!$E$4</x:f>
        <x:v>9.9</x:v>
      </x:c>
      <x:c r="L105" s="57" t="n">
        <x:f>J105*'Hypothèses &amp; sources'!$F$4</x:f>
        <x:v>10.494000000000002</x:v>
      </x:c>
      <x:c r="M105" s="57" t="n">
        <x:f>J105*'Hypothèses &amp; sources'!$G$4</x:f>
        <x:v>10.89</x:v>
      </x:c>
      <x:c r="N105" s="57" t="n">
        <x:f>J105*'Hypothèses &amp; sources'!$H$4</x:f>
        <x:v>10.989</x:v>
      </x:c>
      <x:c r="O105" s="57" t="n">
        <x:f>J105*'Hypothèses &amp; sources'!$I$4</x:f>
        <x:v>12.276</x:v>
      </x:c>
      <x:c r="P105" s="57" t="str">
        <x:v>Lidl</x:v>
      </x:c>
      <x:c r="Q105" s="57" t="n">
        <x:f>IF(P105="Lidl",K105,IF(P105="Super U",L105,IF(P105="Carrefour",M105,IF(P105="Auchan",N105,O105))))</x:f>
        <x:v>9.9</x:v>
      </x:c>
      <x:c r="R105" s="57" t="n">
        <x:f>Q105/'Hypothèses &amp; sources'!$B$4</x:f>
        <x:v>2.475</x:v>
      </x:c>
      <x:c r="S105" s="56" t="n">
        <x:f>MAX(0,'Hypothèses &amp; sources'!$B$5*MAX(0,MIN(100,'Hypothèses &amp; sources'!$B$10-R105*'Hypothèses &amp; sources'!$B$9))+'Hypothèses &amp; sources'!$B$6*(G105/5*100)+'Hypothèses &amp; sources'!$B$7*(H105/5*100)+'Hypothèses &amp; sources'!$B$8*MAX(0,MIN(100,'Hypothèses &amp; sources'!$B$12-E105*'Hypothèses &amp; sources'!$B$11))-T105)</x:f>
        <x:v>74.646</x:v>
      </x:c>
      <x:c r="T105" s="33" t="n">
        <x:v>0</x:v>
      </x:c>
    </x:row>
    <x:row r="106">
      <x:c r="A106" s="33" t="n">
        <x:v>102</x:v>
      </x:c>
      <x:c r="B106" s="38" t="str">
        <x:v>Fajitas au poulet</x:v>
      </x:c>
      <x:c r="C106" s="38" t="str">
        <x:v>Tacos / poulet</x:v>
      </x:c>
      <x:c r="D106" s="38" t="str">
        <x:v>poulet, poivrons, oignon, tortillas, citron vert, épices</x:v>
      </x:c>
      <x:c r="E106" s="33" t="n">
        <x:v>20</x:v>
      </x:c>
      <x:c r="F106" s="33" t="n">
        <x:v>30</x:v>
      </x:c>
      <x:c r="G106" s="56" t="n">
        <x:v>4.5</x:v>
      </x:c>
      <x:c r="H106" s="56" t="n">
        <x:v>4.2</x:v>
      </x:c>
      <x:c r="I106" s="33" t="n">
        <x:v>0</x:v>
      </x:c>
      <x:c r="J106" s="57" t="n">
        <x:v>10</x:v>
      </x:c>
      <x:c r="K106" s="57" t="n">
        <x:f>J106*'Hypothèses &amp; sources'!$E$4</x:f>
        <x:v>10</x:v>
      </x:c>
      <x:c r="L106" s="57" t="n">
        <x:f>J106*'Hypothèses &amp; sources'!$F$4</x:f>
        <x:v>10.600000000000001</x:v>
      </x:c>
      <x:c r="M106" s="57" t="n">
        <x:f>J106*'Hypothèses &amp; sources'!$G$4</x:f>
        <x:v>11</x:v>
      </x:c>
      <x:c r="N106" s="57" t="n">
        <x:f>J106*'Hypothèses &amp; sources'!$H$4</x:f>
        <x:v>11.100000000000001</x:v>
      </x:c>
      <x:c r="O106" s="57" t="n">
        <x:f>J106*'Hypothèses &amp; sources'!$I$4</x:f>
        <x:v>12.4</x:v>
      </x:c>
      <x:c r="P106" s="57" t="str">
        <x:v>Lidl</x:v>
      </x:c>
      <x:c r="Q106" s="57" t="n">
        <x:f>IF(P106="Lidl",K106,IF(P106="Super U",L106,IF(P106="Carrefour",M106,IF(P106="Auchan",N106,O106))))</x:f>
        <x:v>10</x:v>
      </x:c>
      <x:c r="R106" s="57" t="n">
        <x:f>Q106/'Hypothèses &amp; sources'!$B$4</x:f>
        <x:v>2.5</x:v>
      </x:c>
      <x:c r="S106" s="56" t="n">
        <x:f>MAX(0,'Hypothèses &amp; sources'!$B$5*MAX(0,MIN(100,'Hypothèses &amp; sources'!$B$10-R106*'Hypothèses &amp; sources'!$B$9))+'Hypothèses &amp; sources'!$B$6*(G106/5*100)+'Hypothèses &amp; sources'!$B$7*(H106/5*100)+'Hypothèses &amp; sources'!$B$8*MAX(0,MIN(100,'Hypothèses &amp; sources'!$B$12-E106*'Hypothèses &amp; sources'!$B$11))-T106)</x:f>
        <x:v>81.84</x:v>
      </x:c>
      <x:c r="T106" s="33" t="n">
        <x:v>0</x:v>
      </x:c>
    </x:row>
    <x:row r="107">
      <x:c r="A107" s="33" t="n">
        <x:v>103</x:v>
      </x:c>
      <x:c r="B107" s="38" t="str">
        <x:v>French onion chicken</x:v>
      </x:c>
      <x:c r="C107" s="38" t="str">
        <x:v>Plat complet</x:v>
      </x:c>
      <x:c r="D107" s="38" t="str">
        <x:v>oignons, bouillon, fromage, poulet</x:v>
      </x:c>
      <x:c r="E107" s="33" t="n">
        <x:v>20</x:v>
      </x:c>
      <x:c r="F107" s="33" t="n">
        <x:v>40</x:v>
      </x:c>
      <x:c r="G107" s="56" t="n">
        <x:v>3.9</x:v>
      </x:c>
      <x:c r="H107" s="56" t="n">
        <x:v>3.5</x:v>
      </x:c>
      <x:c r="I107" s="33" t="n">
        <x:v>0</x:v>
      </x:c>
      <x:c r="J107" s="57" t="n">
        <x:v>10.3</x:v>
      </x:c>
      <x:c r="K107" s="57" t="n">
        <x:f>J107*'Hypothèses &amp; sources'!$E$4</x:f>
        <x:v>10.3</x:v>
      </x:c>
      <x:c r="L107" s="57" t="n">
        <x:f>J107*'Hypothèses &amp; sources'!$F$4</x:f>
        <x:v>10.918000000000001</x:v>
      </x:c>
      <x:c r="M107" s="57" t="n">
        <x:f>J107*'Hypothèses &amp; sources'!$G$4</x:f>
        <x:v>11.330000000000002</x:v>
      </x:c>
      <x:c r="N107" s="57" t="n">
        <x:f>J107*'Hypothèses &amp; sources'!$H$4</x:f>
        <x:v>11.433000000000002</x:v>
      </x:c>
      <x:c r="O107" s="57" t="n">
        <x:f>J107*'Hypothèses &amp; sources'!$I$4</x:f>
        <x:v>12.772</x:v>
      </x:c>
      <x:c r="P107" s="57" t="str">
        <x:v>Lidl</x:v>
      </x:c>
      <x:c r="Q107" s="57" t="n">
        <x:f>IF(P107="Lidl",K107,IF(P107="Super U",L107,IF(P107="Carrefour",M107,IF(P107="Auchan",N107,O107))))</x:f>
        <x:v>10.3</x:v>
      </x:c>
      <x:c r="R107" s="57" t="n">
        <x:f>Q107/'Hypothèses &amp; sources'!$B$4</x:f>
        <x:v>2.575</x:v>
      </x:c>
      <x:c r="S107" s="56" t="n">
        <x:f>MAX(0,'Hypothèses &amp; sources'!$B$5*MAX(0,MIN(100,'Hypothèses &amp; sources'!$B$10-R107*'Hypothèses &amp; sources'!$B$9))+'Hypothèses &amp; sources'!$B$6*(G107/5*100)+'Hypothèses &amp; sources'!$B$7*(H107/5*100)+'Hypothèses &amp; sources'!$B$8*MAX(0,MIN(100,'Hypothèses &amp; sources'!$B$12-E107*'Hypothèses &amp; sources'!$B$11))-T107)</x:f>
        <x:v>75.582</x:v>
      </x:c>
      <x:c r="T107" s="33" t="n">
        <x:v>0</x:v>
      </x:c>
    </x:row>
    <x:row r="108">
      <x:c r="A108" s="33" t="n">
        <x:v>104</x:v>
      </x:c>
      <x:c r="B108" s="38" t="str">
        <x:v>Adobo chicken with potatoes</x:v>
      </x:c>
      <x:c r="C108" s="38" t="str">
        <x:v>Mijoté / curry</x:v>
      </x:c>
      <x:c r="D108" s="38" t="str">
        <x:v>oignon, bouillon, épices, poulet, légumes</x:v>
      </x:c>
      <x:c r="E108" s="33" t="n">
        <x:v>25</x:v>
      </x:c>
      <x:c r="F108" s="33" t="n">
        <x:v>75</x:v>
      </x:c>
      <x:c r="G108" s="56" t="n">
        <x:v>4.3</x:v>
      </x:c>
      <x:c r="H108" s="56" t="n">
        <x:v>3.7</x:v>
      </x:c>
      <x:c r="I108" s="33" t="n">
        <x:v>0</x:v>
      </x:c>
      <x:c r="J108" s="57" t="n">
        <x:v>10.4</x:v>
      </x:c>
      <x:c r="K108" s="57" t="n">
        <x:f>J108*'Hypothèses &amp; sources'!$E$4</x:f>
        <x:v>10.4</x:v>
      </x:c>
      <x:c r="L108" s="57" t="n">
        <x:f>J108*'Hypothèses &amp; sources'!$F$4</x:f>
        <x:v>11.024000000000001</x:v>
      </x:c>
      <x:c r="M108" s="57" t="n">
        <x:f>J108*'Hypothèses &amp; sources'!$G$4</x:f>
        <x:v>11.440000000000001</x:v>
      </x:c>
      <x:c r="N108" s="57" t="n">
        <x:f>J108*'Hypothèses &amp; sources'!$H$4</x:f>
        <x:v>11.544000000000002</x:v>
      </x:c>
      <x:c r="O108" s="57" t="n">
        <x:f>J108*'Hypothèses &amp; sources'!$I$4</x:f>
        <x:v>12.896</x:v>
      </x:c>
      <x:c r="P108" s="57" t="str">
        <x:v>Lidl</x:v>
      </x:c>
      <x:c r="Q108" s="57" t="n">
        <x:f>IF(P108="Lidl",K108,IF(P108="Super U",L108,IF(P108="Carrefour",M108,IF(P108="Auchan",N108,O108))))</x:f>
        <x:v>10.4</x:v>
      </x:c>
      <x:c r="R108" s="57" t="n">
        <x:f>Q108/'Hypothèses &amp; sources'!$B$4</x:f>
        <x:v>2.6</x:v>
      </x:c>
      <x:c r="S108" s="56" t="n">
        <x:f>MAX(0,'Hypothèses &amp; sources'!$B$5*MAX(0,MIN(100,'Hypothèses &amp; sources'!$B$10-R108*'Hypothèses &amp; sources'!$B$9))+'Hypothèses &amp; sources'!$B$6*(G108/5*100)+'Hypothèses &amp; sources'!$B$7*(H108/5*100)+'Hypothèses &amp; sources'!$B$8*MAX(0,MIN(100,'Hypothèses &amp; sources'!$B$12-E108*'Hypothèses &amp; sources'!$B$11))-T108)</x:f>
        <x:v>77.096</x:v>
      </x:c>
      <x:c r="T108" s="33" t="n">
        <x:v>0</x:v>
      </x:c>
    </x:row>
    <x:row r="109">
      <x:c r="A109" s="33" t="n">
        <x:v>105</x:v>
      </x:c>
      <x:c r="B109" s="38" t="str">
        <x:v>Jamaican chicken fricasse</x:v>
      </x:c>
      <x:c r="C109" s="38" t="str">
        <x:v>Mijoté / curry</x:v>
      </x:c>
      <x:c r="D109" s="38" t="str">
        <x:v>oignon, bouillon, épices, poulet, légumes</x:v>
      </x:c>
      <x:c r="E109" s="33" t="n">
        <x:v>25</x:v>
      </x:c>
      <x:c r="F109" s="33" t="n">
        <x:v>75</x:v>
      </x:c>
      <x:c r="G109" s="56" t="n">
        <x:v>4.3</x:v>
      </x:c>
      <x:c r="H109" s="56" t="n">
        <x:v>3.7</x:v>
      </x:c>
      <x:c r="I109" s="33" t="n">
        <x:v>0</x:v>
      </x:c>
      <x:c r="J109" s="57" t="n">
        <x:v>10.4</x:v>
      </x:c>
      <x:c r="K109" s="57" t="n">
        <x:f>J109*'Hypothèses &amp; sources'!$E$4</x:f>
        <x:v>10.4</x:v>
      </x:c>
      <x:c r="L109" s="57" t="n">
        <x:f>J109*'Hypothèses &amp; sources'!$F$4</x:f>
        <x:v>11.024000000000001</x:v>
      </x:c>
      <x:c r="M109" s="57" t="n">
        <x:f>J109*'Hypothèses &amp; sources'!$G$4</x:f>
        <x:v>11.440000000000001</x:v>
      </x:c>
      <x:c r="N109" s="57" t="n">
        <x:f>J109*'Hypothèses &amp; sources'!$H$4</x:f>
        <x:v>11.544000000000002</x:v>
      </x:c>
      <x:c r="O109" s="57" t="n">
        <x:f>J109*'Hypothèses &amp; sources'!$I$4</x:f>
        <x:v>12.896</x:v>
      </x:c>
      <x:c r="P109" s="57" t="str">
        <x:v>Lidl</x:v>
      </x:c>
      <x:c r="Q109" s="57" t="n">
        <x:f>IF(P109="Lidl",K109,IF(P109="Super U",L109,IF(P109="Carrefour",M109,IF(P109="Auchan",N109,O109))))</x:f>
        <x:v>10.4</x:v>
      </x:c>
      <x:c r="R109" s="57" t="n">
        <x:f>Q109/'Hypothèses &amp; sources'!$B$4</x:f>
        <x:v>2.6</x:v>
      </x:c>
      <x:c r="S109" s="56" t="n">
        <x:f>MAX(0,'Hypothèses &amp; sources'!$B$5*MAX(0,MIN(100,'Hypothèses &amp; sources'!$B$10-R109*'Hypothèses &amp; sources'!$B$9))+'Hypothèses &amp; sources'!$B$6*(G109/5*100)+'Hypothèses &amp; sources'!$B$7*(H109/5*100)+'Hypothèses &amp; sources'!$B$8*MAX(0,MIN(100,'Hypothèses &amp; sources'!$B$12-E109*'Hypothèses &amp; sources'!$B$11))-T109)</x:f>
        <x:v>77.096</x:v>
      </x:c>
      <x:c r="T109" s="33" t="n">
        <x:v>0</x:v>
      </x:c>
    </x:row>
    <x:row r="110">
      <x:c r="A110" s="33" t="n">
        <x:v>106</x:v>
      </x:c>
      <x:c r="B110" s="38" t="str">
        <x:v>Country ribs</x:v>
      </x:c>
      <x:c r="C110" s="38" t="str">
        <x:v>Plat complet</x:v>
      </x:c>
      <x:c r="D110" s="38" t="str">
        <x:v>travers / ribs de porc</x:v>
      </x:c>
      <x:c r="E110" s="33" t="n">
        <x:v>20</x:v>
      </x:c>
      <x:c r="F110" s="33" t="n">
        <x:v>90</x:v>
      </x:c>
      <x:c r="G110" s="56" t="n">
        <x:v>3.9</x:v>
      </x:c>
      <x:c r="H110" s="56" t="n">
        <x:v>3.1</x:v>
      </x:c>
      <x:c r="I110" s="33" t="n">
        <x:v>0</x:v>
      </x:c>
      <x:c r="J110" s="57" t="n">
        <x:v>10.4</x:v>
      </x:c>
      <x:c r="K110" s="57" t="n">
        <x:f>J110*'Hypothèses &amp; sources'!$E$4</x:f>
        <x:v>10.4</x:v>
      </x:c>
      <x:c r="L110" s="57" t="n">
        <x:f>J110*'Hypothèses &amp; sources'!$F$4</x:f>
        <x:v>11.024000000000001</x:v>
      </x:c>
      <x:c r="M110" s="57" t="n">
        <x:f>J110*'Hypothèses &amp; sources'!$G$4</x:f>
        <x:v>11.440000000000001</x:v>
      </x:c>
      <x:c r="N110" s="57" t="n">
        <x:f>J110*'Hypothèses &amp; sources'!$H$4</x:f>
        <x:v>11.544000000000002</x:v>
      </x:c>
      <x:c r="O110" s="57" t="n">
        <x:f>J110*'Hypothèses &amp; sources'!$I$4</x:f>
        <x:v>12.896</x:v>
      </x:c>
      <x:c r="P110" s="57" t="str">
        <x:v>Lidl</x:v>
      </x:c>
      <x:c r="Q110" s="57" t="n">
        <x:f>IF(P110="Lidl",K110,IF(P110="Super U",L110,IF(P110="Carrefour",M110,IF(P110="Auchan",N110,O110))))</x:f>
        <x:v>10.4</x:v>
      </x:c>
      <x:c r="R110" s="57" t="n">
        <x:f>Q110/'Hypothèses &amp; sources'!$B$4</x:f>
        <x:v>2.6</x:v>
      </x:c>
      <x:c r="S110" s="56" t="n">
        <x:f>MAX(0,'Hypothèses &amp; sources'!$B$5*MAX(0,MIN(100,'Hypothèses &amp; sources'!$B$10-R110*'Hypothèses &amp; sources'!$B$9))+'Hypothèses &amp; sources'!$B$6*(G110/5*100)+'Hypothèses &amp; sources'!$B$7*(H110/5*100)+'Hypothèses &amp; sources'!$B$8*MAX(0,MIN(100,'Hypothèses &amp; sources'!$B$12-E110*'Hypothèses &amp; sources'!$B$11))-T110)</x:f>
        <x:v>74.016</x:v>
      </x:c>
      <x:c r="T110" s="33" t="n">
        <x:v>0</x:v>
      </x:c>
    </x:row>
    <x:row r="111">
      <x:c r="A111" s="33" t="n">
        <x:v>107</x:v>
      </x:c>
      <x:c r="B111" s="38" t="str">
        <x:v>Tomato grape and rosemary baked camembert</x:v>
      </x:c>
      <x:c r="C111" s="38" t="str">
        <x:v>Apéritif / fromage</x:v>
      </x:c>
      <x:c r="D111" s="38" t="str">
        <x:v>camembert, tomates cerises, romarin, ail, pain</x:v>
      </x:c>
      <x:c r="E111" s="33" t="n">
        <x:v>10</x:v>
      </x:c>
      <x:c r="F111" s="33" t="n">
        <x:v>25</x:v>
      </x:c>
      <x:c r="G111" s="56" t="n">
        <x:v>3.4</x:v>
      </x:c>
      <x:c r="H111" s="56" t="n">
        <x:v>2.5</x:v>
      </x:c>
      <x:c r="I111" s="33" t="n">
        <x:v>0</x:v>
      </x:c>
      <x:c r="J111" s="57" t="n">
        <x:v>10.5</x:v>
      </x:c>
      <x:c r="K111" s="57" t="n">
        <x:f>J111*'Hypothèses &amp; sources'!$E$4</x:f>
        <x:v>10.5</x:v>
      </x:c>
      <x:c r="L111" s="57" t="n">
        <x:f>J111*'Hypothèses &amp; sources'!$F$4</x:f>
        <x:v>11.13</x:v>
      </x:c>
      <x:c r="M111" s="57" t="n">
        <x:f>J111*'Hypothèses &amp; sources'!$G$4</x:f>
        <x:v>11.55</x:v>
      </x:c>
      <x:c r="N111" s="57" t="n">
        <x:f>J111*'Hypothèses &amp; sources'!$H$4</x:f>
        <x:v>11.655000000000001</x:v>
      </x:c>
      <x:c r="O111" s="57" t="n">
        <x:f>J111*'Hypothèses &amp; sources'!$I$4</x:f>
        <x:v>13.02</x:v>
      </x:c>
      <x:c r="P111" s="57" t="str">
        <x:v>Lidl</x:v>
      </x:c>
      <x:c r="Q111" s="57" t="n">
        <x:f>IF(P111="Lidl",K111,IF(P111="Super U",L111,IF(P111="Carrefour",M111,IF(P111="Auchan",N111,O111))))</x:f>
        <x:v>10.5</x:v>
      </x:c>
      <x:c r="R111" s="57" t="n">
        <x:f>Q111/'Hypothèses &amp; sources'!$B$4</x:f>
        <x:v>2.625</x:v>
      </x:c>
      <x:c r="S111" s="56" t="n">
        <x:f>MAX(0,'Hypothèses &amp; sources'!$B$5*MAX(0,MIN(100,'Hypothèses &amp; sources'!$B$10-R111*'Hypothèses &amp; sources'!$B$9))+'Hypothèses &amp; sources'!$B$6*(G111/5*100)+'Hypothèses &amp; sources'!$B$7*(H111/5*100)+'Hypothèses &amp; sources'!$B$8*MAX(0,MIN(100,'Hypothèses &amp; sources'!$B$12-E111*'Hypothèses &amp; sources'!$B$11))-T111)</x:f>
        <x:v>61.57000000000001</x:v>
      </x:c>
      <x:c r="T111" s="33" t="n">
        <x:v>10</x:v>
      </x:c>
    </x:row>
    <x:row r="112">
      <x:c r="A112" s="33" t="n">
        <x:v>108</x:v>
      </x:c>
      <x:c r="B112" s="38" t="str">
        <x:v>Tikka-spiced chicken kebabs</x:v>
      </x:c>
      <x:c r="C112" s="38" t="str">
        <x:v>Curry / poulet</x:v>
      </x:c>
      <x:c r="D112" s="38" t="str">
        <x:v>poulet, yaourt, citron, épices tikka, poivrons, oignon</x:v>
      </x:c>
      <x:c r="E112" s="33" t="n">
        <x:v>20</x:v>
      </x:c>
      <x:c r="F112" s="33" t="n">
        <x:v>35</x:v>
      </x:c>
      <x:c r="G112" s="56" t="n">
        <x:v>4.2</x:v>
      </x:c>
      <x:c r="H112" s="56" t="n">
        <x:v>4</x:v>
      </x:c>
      <x:c r="I112" s="33" t="n">
        <x:v>1</x:v>
      </x:c>
      <x:c r="J112" s="57" t="n">
        <x:v>10</x:v>
      </x:c>
      <x:c r="K112" s="57" t="n">
        <x:f>J112*'Hypothèses &amp; sources'!$E$4</x:f>
        <x:v>10</x:v>
      </x:c>
      <x:c r="L112" s="57" t="n">
        <x:f>J112*'Hypothèses &amp; sources'!$F$4</x:f>
        <x:v>10.600000000000001</x:v>
      </x:c>
      <x:c r="M112" s="57" t="n">
        <x:f>J112*'Hypothèses &amp; sources'!$G$4</x:f>
        <x:v>11</x:v>
      </x:c>
      <x:c r="N112" s="57" t="n">
        <x:f>J112*'Hypothèses &amp; sources'!$H$4</x:f>
        <x:v>11.100000000000001</x:v>
      </x:c>
      <x:c r="O112" s="57" t="n">
        <x:f>J112*'Hypothèses &amp; sources'!$I$4</x:f>
        <x:v>12.4</x:v>
      </x:c>
      <x:c r="P112" s="57" t="str">
        <x:v>Super U</x:v>
      </x:c>
      <x:c r="Q112" s="57" t="n">
        <x:f>IF(P112="Lidl",K112,IF(P112="Super U",L112,IF(P112="Carrefour",M112,IF(P112="Auchan",N112,O112))))</x:f>
        <x:v>10.600000000000001</x:v>
      </x:c>
      <x:c r="R112" s="57" t="n">
        <x:f>Q112/'Hypothèses &amp; sources'!$B$4</x:f>
        <x:v>2.6500000000000004</x:v>
      </x:c>
      <x:c r="S112" s="56" t="n">
        <x:f>MAX(0,'Hypothèses &amp; sources'!$B$5*MAX(0,MIN(100,'Hypothèses &amp; sources'!$B$10-R112*'Hypothèses &amp; sources'!$B$9))+'Hypothèses &amp; sources'!$B$6*(G112/5*100)+'Hypothèses &amp; sources'!$B$7*(H112/5*100)+'Hypothèses &amp; sources'!$B$8*MAX(0,MIN(100,'Hypothèses &amp; sources'!$B$12-E112*'Hypothèses &amp; sources'!$B$11))-T112)</x:f>
        <x:v>78.68400000000001</x:v>
      </x:c>
      <x:c r="T112" s="33" t="n">
        <x:v>0</x:v>
      </x:c>
    </x:row>
    <x:row r="113">
      <x:c r="A113" s="33" t="n">
        <x:v>109</x:v>
      </x:c>
      <x:c r="B113" s="38" t="str">
        <x:v>Vindaloo</x:v>
      </x:c>
      <x:c r="C113" s="38" t="str">
        <x:v>Curry / viande</x:v>
      </x:c>
      <x:c r="D113" s="38" t="str">
        <x:v>porc ou poulet, vinaigre, ail, gingembre, piment, épices</x:v>
      </x:c>
      <x:c r="E113" s="33" t="n">
        <x:v>25</x:v>
      </x:c>
      <x:c r="F113" s="33" t="n">
        <x:v>60</x:v>
      </x:c>
      <x:c r="G113" s="56" t="n">
        <x:v>4.5</x:v>
      </x:c>
      <x:c r="H113" s="56" t="n">
        <x:v>3.8</x:v>
      </x:c>
      <x:c r="I113" s="33" t="n">
        <x:v>1</x:v>
      </x:c>
      <x:c r="J113" s="57" t="n">
        <x:v>10</x:v>
      </x:c>
      <x:c r="K113" s="57" t="n">
        <x:f>J113*'Hypothèses &amp; sources'!$E$4</x:f>
        <x:v>10</x:v>
      </x:c>
      <x:c r="L113" s="57" t="n">
        <x:f>J113*'Hypothèses &amp; sources'!$F$4</x:f>
        <x:v>10.600000000000001</x:v>
      </x:c>
      <x:c r="M113" s="57" t="n">
        <x:f>J113*'Hypothèses &amp; sources'!$G$4</x:f>
        <x:v>11</x:v>
      </x:c>
      <x:c r="N113" s="57" t="n">
        <x:f>J113*'Hypothèses &amp; sources'!$H$4</x:f>
        <x:v>11.100000000000001</x:v>
      </x:c>
      <x:c r="O113" s="57" t="n">
        <x:f>J113*'Hypothèses &amp; sources'!$I$4</x:f>
        <x:v>12.4</x:v>
      </x:c>
      <x:c r="P113" s="57" t="str">
        <x:v>Super U</x:v>
      </x:c>
      <x:c r="Q113" s="57" t="n">
        <x:f>IF(P113="Lidl",K113,IF(P113="Super U",L113,IF(P113="Carrefour",M113,IF(P113="Auchan",N113,O113))))</x:f>
        <x:v>10.600000000000001</x:v>
      </x:c>
      <x:c r="R113" s="57" t="n">
        <x:f>Q113/'Hypothèses &amp; sources'!$B$4</x:f>
        <x:v>2.6500000000000004</x:v>
      </x:c>
      <x:c r="S113" s="56" t="n">
        <x:f>MAX(0,'Hypothèses &amp; sources'!$B$5*MAX(0,MIN(100,'Hypothèses &amp; sources'!$B$10-R113*'Hypothèses &amp; sources'!$B$9))+'Hypothèses &amp; sources'!$B$6*(G113/5*100)+'Hypothèses &amp; sources'!$B$7*(H113/5*100)+'Hypothèses &amp; sources'!$B$8*MAX(0,MIN(100,'Hypothèses &amp; sources'!$B$12-E113*'Hypothèses &amp; sources'!$B$11))-T113)</x:f>
        <x:v>78.32399999999998</x:v>
      </x:c>
      <x:c r="T113" s="33" t="n">
        <x:v>0</x:v>
      </x:c>
    </x:row>
    <x:row r="114">
      <x:c r="A114" s="33" t="n">
        <x:v>110</x:v>
      </x:c>
      <x:c r="B114" s="38" t="str">
        <x:v>Rouleaux de poulet Buffalo</x:v>
      </x:c>
      <x:c r="C114" s="38" t="str">
        <x:v>Apéritif / poulet</x:v>
      </x:c>
      <x:c r="D114" s="38" t="str">
        <x:v>poulet, tortillas ou feuilles, sauce Buffalo, fromage</x:v>
      </x:c>
      <x:c r="E114" s="33" t="n">
        <x:v>20</x:v>
      </x:c>
      <x:c r="F114" s="33" t="n">
        <x:v>35</x:v>
      </x:c>
      <x:c r="G114" s="56" t="n">
        <x:v>4</x:v>
      </x:c>
      <x:c r="H114" s="56" t="n">
        <x:v>3</x:v>
      </x:c>
      <x:c r="I114" s="33" t="n">
        <x:v>1</x:v>
      </x:c>
      <x:c r="J114" s="57" t="n">
        <x:v>10</x:v>
      </x:c>
      <x:c r="K114" s="57" t="n">
        <x:f>J114*'Hypothèses &amp; sources'!$E$4</x:f>
        <x:v>10</x:v>
      </x:c>
      <x:c r="L114" s="57" t="n">
        <x:f>J114*'Hypothèses &amp; sources'!$F$4</x:f>
        <x:v>10.600000000000001</x:v>
      </x:c>
      <x:c r="M114" s="57" t="n">
        <x:f>J114*'Hypothèses &amp; sources'!$G$4</x:f>
        <x:v>11</x:v>
      </x:c>
      <x:c r="N114" s="57" t="n">
        <x:f>J114*'Hypothèses &amp; sources'!$H$4</x:f>
        <x:v>11.100000000000001</x:v>
      </x:c>
      <x:c r="O114" s="57" t="n">
        <x:f>J114*'Hypothèses &amp; sources'!$I$4</x:f>
        <x:v>12.4</x:v>
      </x:c>
      <x:c r="P114" s="57" t="str">
        <x:v>Super U</x:v>
      </x:c>
      <x:c r="Q114" s="57" t="n">
        <x:f>IF(P114="Lidl",K114,IF(P114="Super U",L114,IF(P114="Carrefour",M114,IF(P114="Auchan",N114,O114))))</x:f>
        <x:v>10.600000000000001</x:v>
      </x:c>
      <x:c r="R114" s="57" t="n">
        <x:f>Q114/'Hypothèses &amp; sources'!$B$4</x:f>
        <x:v>2.6500000000000004</x:v>
      </x:c>
      <x:c r="S114" s="56" t="n">
        <x:f>MAX(0,'Hypothèses &amp; sources'!$B$5*MAX(0,MIN(100,'Hypothèses &amp; sources'!$B$10-R114*'Hypothèses &amp; sources'!$B$9))+'Hypothèses &amp; sources'!$B$6*(G114/5*100)+'Hypothèses &amp; sources'!$B$7*(H114/5*100)+'Hypothèses &amp; sources'!$B$8*MAX(0,MIN(100,'Hypothèses &amp; sources'!$B$12-E114*'Hypothèses &amp; sources'!$B$11))-T114)</x:f>
        <x:v>63.964</x:v>
      </x:c>
      <x:c r="T114" s="33" t="n">
        <x:v>10</x:v>
      </x:c>
    </x:row>
    <x:row r="115">
      <x:c r="A115" s="33" t="n">
        <x:v>111</x:v>
      </x:c>
      <x:c r="B115" s="38" t="str">
        <x:v>Roasted poblano strips with cream tacos</x:v>
      </x:c>
      <x:c r="C115" s="38" t="str">
        <x:v>Tacos / sandwich</x:v>
      </x:c>
      <x:c r="D115" s="38" t="str">
        <x:v>tortillas ou pain, crudités, sauce, poivrons, crème / fromage, piments poblano</x:v>
      </x:c>
      <x:c r="E115" s="33" t="n">
        <x:v>20</x:v>
      </x:c>
      <x:c r="F115" s="33" t="n">
        <x:v>90</x:v>
      </x:c>
      <x:c r="G115" s="56" t="n">
        <x:v>3.5</x:v>
      </x:c>
      <x:c r="H115" s="56" t="n">
        <x:v>3</x:v>
      </x:c>
      <x:c r="I115" s="33" t="n">
        <x:v>2</x:v>
      </x:c>
      <x:c r="J115" s="57" t="n">
        <x:v>9.7</x:v>
      </x:c>
      <x:c r="K115" s="57" t="n">
        <x:f>J115*'Hypothèses &amp; sources'!$E$4</x:f>
        <x:v>9.7</x:v>
      </x:c>
      <x:c r="L115" s="57" t="n">
        <x:f>J115*'Hypothèses &amp; sources'!$F$4</x:f>
        <x:v>10.282</x:v>
      </x:c>
      <x:c r="M115" s="57" t="n">
        <x:f>J115*'Hypothèses &amp; sources'!$G$4</x:f>
        <x:v>10.67</x:v>
      </x:c>
      <x:c r="N115" s="57" t="n">
        <x:f>J115*'Hypothèses &amp; sources'!$H$4</x:f>
        <x:v>10.767</x:v>
      </x:c>
      <x:c r="O115" s="57" t="n">
        <x:f>J115*'Hypothèses &amp; sources'!$I$4</x:f>
        <x:v>12.027999999999999</x:v>
      </x:c>
      <x:c r="P115" s="57" t="str">
        <x:v>Carrefour</x:v>
      </x:c>
      <x:c r="Q115" s="57" t="n">
        <x:f>IF(P115="Lidl",K115,IF(P115="Super U",L115,IF(P115="Carrefour",M115,IF(P115="Auchan",N115,O115))))</x:f>
        <x:v>10.67</x:v>
      </x:c>
      <x:c r="R115" s="57" t="n">
        <x:f>Q115/'Hypothèses &amp; sources'!$B$4</x:f>
        <x:v>2.6675</x:v>
      </x:c>
      <x:c r="S115" s="56" t="n">
        <x:f>MAX(0,'Hypothèses &amp; sources'!$B$5*MAX(0,MIN(100,'Hypothèses &amp; sources'!$B$10-R115*'Hypothèses &amp; sources'!$B$9))+'Hypothèses &amp; sources'!$B$6*(G115/5*100)+'Hypothèses &amp; sources'!$B$7*(H115/5*100)+'Hypothèses &amp; sources'!$B$8*MAX(0,MIN(100,'Hypothèses &amp; sources'!$B$12-E115*'Hypothèses &amp; sources'!$B$11))-T115)</x:f>
        <x:v>71.0758</x:v>
      </x:c>
      <x:c r="T115" s="33" t="n">
        <x:v>0</x:v>
      </x:c>
    </x:row>
    <x:row r="116">
      <x:c r="A116" s="33" t="n">
        <x:v>112</x:v>
      </x:c>
      <x:c r="B116" s="38" t="str">
        <x:v>Ginger turkey soup</x:v>
      </x:c>
      <x:c r="C116" s="38" t="str">
        <x:v>Soupe / bouillon</x:v>
      </x:c>
      <x:c r="D116" s="38" t="str">
        <x:v>gingembre, bouillon, oignon, dinde, légumes</x:v>
      </x:c>
      <x:c r="E116" s="33" t="n">
        <x:v>15</x:v>
      </x:c>
      <x:c r="F116" s="33" t="n">
        <x:v>35</x:v>
      </x:c>
      <x:c r="G116" s="56" t="n">
        <x:v>3.9</x:v>
      </x:c>
      <x:c r="H116" s="56" t="n">
        <x:v>3.9</x:v>
      </x:c>
      <x:c r="I116" s="33" t="n">
        <x:v>0</x:v>
      </x:c>
      <x:c r="J116" s="57" t="n">
        <x:v>10.7</x:v>
      </x:c>
      <x:c r="K116" s="57" t="n">
        <x:f>J116*'Hypothèses &amp; sources'!$E$4</x:f>
        <x:v>10.7</x:v>
      </x:c>
      <x:c r="L116" s="57" t="n">
        <x:f>J116*'Hypothèses &amp; sources'!$F$4</x:f>
        <x:v>11.342</x:v>
      </x:c>
      <x:c r="M116" s="57" t="n">
        <x:f>J116*'Hypothèses &amp; sources'!$G$4</x:f>
        <x:v>11.77</x:v>
      </x:c>
      <x:c r="N116" s="57" t="n">
        <x:f>J116*'Hypothèses &amp; sources'!$H$4</x:f>
        <x:v>11.877</x:v>
      </x:c>
      <x:c r="O116" s="57" t="n">
        <x:f>J116*'Hypothèses &amp; sources'!$I$4</x:f>
        <x:v>13.267999999999999</x:v>
      </x:c>
      <x:c r="P116" s="57" t="str">
        <x:v>Lidl</x:v>
      </x:c>
      <x:c r="Q116" s="57" t="n">
        <x:f>IF(P116="Lidl",K116,IF(P116="Super U",L116,IF(P116="Carrefour",M116,IF(P116="Auchan",N116,O116))))</x:f>
        <x:v>10.7</x:v>
      </x:c>
      <x:c r="R116" s="57" t="n">
        <x:f>Q116/'Hypothèses &amp; sources'!$B$4</x:f>
        <x:v>2.675</x:v>
      </x:c>
      <x:c r="S116" s="56" t="n">
        <x:f>MAX(0,'Hypothèses &amp; sources'!$B$5*MAX(0,MIN(100,'Hypothèses &amp; sources'!$B$10-R116*'Hypothèses &amp; sources'!$B$9))+'Hypothèses &amp; sources'!$B$6*(G116/5*100)+'Hypothèses &amp; sources'!$B$7*(H116/5*100)+'Hypothèses &amp; sources'!$B$8*MAX(0,MIN(100,'Hypothèses &amp; sources'!$B$12-E116*'Hypothèses &amp; sources'!$B$11))-T116)</x:f>
        <x:v>77.83800000000001</x:v>
      </x:c>
      <x:c r="T116" s="33" t="n">
        <x:v>0</x:v>
      </x:c>
    </x:row>
    <x:row r="117">
      <x:c r="A117" s="33" t="n">
        <x:v>113</x:v>
      </x:c>
      <x:c r="B117" s="38" t="str">
        <x:v>Curry de poulet et de lentilles</x:v>
      </x:c>
      <x:c r="C117" s="38" t="str">
        <x:v>Curry / cuisine épicée</x:v>
      </x:c>
      <x:c r="D117" s="38" t="str">
        <x:v>oignon, ail, gingembre, épices, légumineuses, poulet</x:v>
      </x:c>
      <x:c r="E117" s="33" t="n">
        <x:v>25</x:v>
      </x:c>
      <x:c r="F117" s="33" t="n">
        <x:v>55</x:v>
      </x:c>
      <x:c r="G117" s="56" t="n">
        <x:v>4.7</x:v>
      </x:c>
      <x:c r="H117" s="56" t="n">
        <x:v>4</x:v>
      </x:c>
      <x:c r="I117" s="33" t="n">
        <x:v>1</x:v>
      </x:c>
      <x:c r="J117" s="57" t="n">
        <x:v>10.2</x:v>
      </x:c>
      <x:c r="K117" s="57" t="n">
        <x:f>J117*'Hypothèses &amp; sources'!$E$4</x:f>
        <x:v>10.2</x:v>
      </x:c>
      <x:c r="L117" s="57" t="n">
        <x:f>J117*'Hypothèses &amp; sources'!$F$4</x:f>
        <x:v>10.812</x:v>
      </x:c>
      <x:c r="M117" s="57" t="n">
        <x:f>J117*'Hypothèses &amp; sources'!$G$4</x:f>
        <x:v>11.22</x:v>
      </x:c>
      <x:c r="N117" s="57" t="n">
        <x:f>J117*'Hypothèses &amp; sources'!$H$4</x:f>
        <x:v>11.322000000000001</x:v>
      </x:c>
      <x:c r="O117" s="57" t="n">
        <x:f>J117*'Hypothèses &amp; sources'!$I$4</x:f>
        <x:v>12.648</x:v>
      </x:c>
      <x:c r="P117" s="57" t="str">
        <x:v>Super U</x:v>
      </x:c>
      <x:c r="Q117" s="57" t="n">
        <x:f>IF(P117="Lidl",K117,IF(P117="Super U",L117,IF(P117="Carrefour",M117,IF(P117="Auchan",N117,O117))))</x:f>
        <x:v>10.812</x:v>
      </x:c>
      <x:c r="R117" s="57" t="n">
        <x:f>Q117/'Hypothèses &amp; sources'!$B$4</x:f>
        <x:v>2.703</x:v>
      </x:c>
      <x:c r="S117" s="56" t="n">
        <x:f>MAX(0,'Hypothèses &amp; sources'!$B$5*MAX(0,MIN(100,'Hypothèses &amp; sources'!$B$10-R117*'Hypothèses &amp; sources'!$B$9))+'Hypothèses &amp; sources'!$B$6*(G117/5*100)+'Hypothèses &amp; sources'!$B$7*(H117/5*100)+'Hypothèses &amp; sources'!$B$8*MAX(0,MIN(100,'Hypothèses &amp; sources'!$B$12-E117*'Hypothèses &amp; sources'!$B$11))-T117)</x:f>
        <x:v>79.89687999999998</x:v>
      </x:c>
      <x:c r="T117" s="33" t="n">
        <x:v>0</x:v>
      </x:c>
    </x:row>
    <x:row r="118">
      <x:c r="A118" s="33" t="n">
        <x:v>114</x:v>
      </x:c>
      <x:c r="B118" s="38" t="str">
        <x:v>Casserole d'oeufs et de poulet</x:v>
      </x:c>
      <x:c r="C118" s="38" t="str">
        <x:v>Gratin / farci</x:v>
      </x:c>
      <x:c r="D118" s="38" t="str">
        <x:v>œufs, poulet</x:v>
      </x:c>
      <x:c r="E118" s="33" t="n">
        <x:v>25</x:v>
      </x:c>
      <x:c r="F118" s="33" t="n">
        <x:v>55</x:v>
      </x:c>
      <x:c r="G118" s="56" t="n">
        <x:v>4.3</x:v>
      </x:c>
      <x:c r="H118" s="56" t="n">
        <x:v>3.5</x:v>
      </x:c>
      <x:c r="I118" s="33" t="n">
        <x:v>0</x:v>
      </x:c>
      <x:c r="J118" s="57" t="n">
        <x:v>10.9</x:v>
      </x:c>
      <x:c r="K118" s="57" t="n">
        <x:f>J118*'Hypothèses &amp; sources'!$E$4</x:f>
        <x:v>10.9</x:v>
      </x:c>
      <x:c r="L118" s="57" t="n">
        <x:f>J118*'Hypothèses &amp; sources'!$F$4</x:f>
        <x:v>11.554</x:v>
      </x:c>
      <x:c r="M118" s="57" t="n">
        <x:f>J118*'Hypothèses &amp; sources'!$G$4</x:f>
        <x:v>11.990000000000002</x:v>
      </x:c>
      <x:c r="N118" s="57" t="n">
        <x:f>J118*'Hypothèses &amp; sources'!$H$4</x:f>
        <x:v>12.099000000000002</x:v>
      </x:c>
      <x:c r="O118" s="57" t="n">
        <x:f>J118*'Hypothèses &amp; sources'!$I$4</x:f>
        <x:v>13.516</x:v>
      </x:c>
      <x:c r="P118" s="57" t="str">
        <x:v>Lidl</x:v>
      </x:c>
      <x:c r="Q118" s="57" t="n">
        <x:f>IF(P118="Lidl",K118,IF(P118="Super U",L118,IF(P118="Carrefour",M118,IF(P118="Auchan",N118,O118))))</x:f>
        <x:v>10.9</x:v>
      </x:c>
      <x:c r="R118" s="57" t="n">
        <x:f>Q118/'Hypothèses &amp; sources'!$B$4</x:f>
        <x:v>2.725</x:v>
      </x:c>
      <x:c r="S118" s="56" t="n">
        <x:f>MAX(0,'Hypothèses &amp; sources'!$B$5*MAX(0,MIN(100,'Hypothèses &amp; sources'!$B$10-R118*'Hypothèses &amp; sources'!$B$9))+'Hypothèses &amp; sources'!$B$6*(G118/5*100)+'Hypothèses &amp; sources'!$B$7*(H118/5*100)+'Hypothèses &amp; sources'!$B$8*MAX(0,MIN(100,'Hypothèses &amp; sources'!$B$12-E118*'Hypothèses &amp; sources'!$B$11))-T118)</x:f>
        <x:v>75.746</x:v>
      </x:c>
      <x:c r="T118" s="33" t="n">
        <x:v>0</x:v>
      </x:c>
    </x:row>
    <x:row r="119">
      <x:c r="A119" s="33" t="n">
        <x:v>115</x:v>
      </x:c>
      <x:c r="B119" s="38" t="str">
        <x:v>Ramen au poulet</x:v>
      </x:c>
      <x:c r="C119" s="38" t="str">
        <x:v>Soupe / bouillon</x:v>
      </x:c>
      <x:c r="D119" s="38" t="str">
        <x:v>bouillon, oignon, pâtes / nouilles, poulet, légumes</x:v>
      </x:c>
      <x:c r="E119" s="33" t="n">
        <x:v>15</x:v>
      </x:c>
      <x:c r="F119" s="33" t="n">
        <x:v>35</x:v>
      </x:c>
      <x:c r="G119" s="56" t="n">
        <x:v>4.2</x:v>
      </x:c>
      <x:c r="H119" s="56" t="n">
        <x:v>3.9</x:v>
      </x:c>
      <x:c r="I119" s="33" t="n">
        <x:v>0</x:v>
      </x:c>
      <x:c r="J119" s="57" t="n">
        <x:v>11</x:v>
      </x:c>
      <x:c r="K119" s="57" t="n">
        <x:f>J119*'Hypothèses &amp; sources'!$E$4</x:f>
        <x:v>11</x:v>
      </x:c>
      <x:c r="L119" s="57" t="n">
        <x:f>J119*'Hypothèses &amp; sources'!$F$4</x:f>
        <x:v>11.66</x:v>
      </x:c>
      <x:c r="M119" s="57" t="n">
        <x:f>J119*'Hypothèses &amp; sources'!$G$4</x:f>
        <x:v>12.100000000000001</x:v>
      </x:c>
      <x:c r="N119" s="57" t="n">
        <x:f>J119*'Hypothèses &amp; sources'!$H$4</x:f>
        <x:v>12.21</x:v>
      </x:c>
      <x:c r="O119" s="57" t="n">
        <x:f>J119*'Hypothèses &amp; sources'!$I$4</x:f>
        <x:v>13.64</x:v>
      </x:c>
      <x:c r="P119" s="57" t="str">
        <x:v>Lidl</x:v>
      </x:c>
      <x:c r="Q119" s="57" t="n">
        <x:f>IF(P119="Lidl",K119,IF(P119="Super U",L119,IF(P119="Carrefour",M119,IF(P119="Auchan",N119,O119))))</x:f>
        <x:v>11</x:v>
      </x:c>
      <x:c r="R119" s="57" t="n">
        <x:f>Q119/'Hypothèses &amp; sources'!$B$4</x:f>
        <x:v>2.75</x:v>
      </x:c>
      <x:c r="S119" s="56" t="n">
        <x:f>MAX(0,'Hypothèses &amp; sources'!$B$5*MAX(0,MIN(100,'Hypothèses &amp; sources'!$B$10-R119*'Hypothèses &amp; sources'!$B$9))+'Hypothèses &amp; sources'!$B$6*(G119/5*100)+'Hypothèses &amp; sources'!$B$7*(H119/5*100)+'Hypothèses &amp; sources'!$B$8*MAX(0,MIN(100,'Hypothèses &amp; sources'!$B$12-E119*'Hypothèses &amp; sources'!$B$11))-T119)</x:f>
        <x:v>79.14</x:v>
      </x:c>
      <x:c r="T119" s="33" t="n">
        <x:v>0</x:v>
      </x:c>
    </x:row>
    <x:row r="120">
      <x:c r="A120" s="33" t="n">
        <x:v>116</x:v>
      </x:c>
      <x:c r="B120" s="38" t="str">
        <x:v>Cabbage rolls</x:v>
      </x:c>
      <x:c r="C120" s="38" t="str">
        <x:v>Gratin / farci</x:v>
      </x:c>
      <x:c r="D120" s="38" t="str">
        <x:v>chou, bœuf haché, riz, tomates, oignon</x:v>
      </x:c>
      <x:c r="E120" s="33" t="n">
        <x:v>35</x:v>
      </x:c>
      <x:c r="F120" s="33" t="n">
        <x:v>80</x:v>
      </x:c>
      <x:c r="G120" s="56" t="n">
        <x:v>4.7</x:v>
      </x:c>
      <x:c r="H120" s="56" t="n">
        <x:v>4.1</x:v>
      </x:c>
      <x:c r="I120" s="33" t="n">
        <x:v>0</x:v>
      </x:c>
      <x:c r="J120" s="57" t="n">
        <x:v>11</x:v>
      </x:c>
      <x:c r="K120" s="57" t="n">
        <x:f>J120*'Hypothèses &amp; sources'!$E$4</x:f>
        <x:v>11</x:v>
      </x:c>
      <x:c r="L120" s="57" t="n">
        <x:f>J120*'Hypothèses &amp; sources'!$F$4</x:f>
        <x:v>11.66</x:v>
      </x:c>
      <x:c r="M120" s="57" t="n">
        <x:f>J120*'Hypothèses &amp; sources'!$G$4</x:f>
        <x:v>12.100000000000001</x:v>
      </x:c>
      <x:c r="N120" s="57" t="n">
        <x:f>J120*'Hypothèses &amp; sources'!$H$4</x:f>
        <x:v>12.21</x:v>
      </x:c>
      <x:c r="O120" s="57" t="n">
        <x:f>J120*'Hypothèses &amp; sources'!$I$4</x:f>
        <x:v>13.64</x:v>
      </x:c>
      <x:c r="P120" s="57" t="str">
        <x:v>Lidl</x:v>
      </x:c>
      <x:c r="Q120" s="57" t="n">
        <x:f>IF(P120="Lidl",K120,IF(P120="Super U",L120,IF(P120="Carrefour",M120,IF(P120="Auchan",N120,O120))))</x:f>
        <x:v>11</x:v>
      </x:c>
      <x:c r="R120" s="57" t="n">
        <x:f>Q120/'Hypothèses &amp; sources'!$B$4</x:f>
        <x:v>2.75</x:v>
      </x:c>
      <x:c r="S120" s="56" t="n">
        <x:f>MAX(0,'Hypothèses &amp; sources'!$B$5*MAX(0,MIN(100,'Hypothèses &amp; sources'!$B$10-R120*'Hypothèses &amp; sources'!$B$9))+'Hypothèses &amp; sources'!$B$6*(G120/5*100)+'Hypothèses &amp; sources'!$B$7*(H120/5*100)+'Hypothèses &amp; sources'!$B$8*MAX(0,MIN(100,'Hypothèses &amp; sources'!$B$12-E120*'Hypothèses &amp; sources'!$B$11))-T120)</x:f>
        <x:v>77.38</x:v>
      </x:c>
      <x:c r="T120" s="33" t="n">
        <x:v>0</x:v>
      </x:c>
    </x:row>
    <x:row r="121">
      <x:c r="A121" s="33" t="n">
        <x:v>117</x:v>
      </x:c>
      <x:c r="B121" s="38" t="str">
        <x:v>Soupe tortilla au poulet</x:v>
      </x:c>
      <x:c r="C121" s="38" t="str">
        <x:v>Soupe / bouillon</x:v>
      </x:c>
      <x:c r="D121" s="38" t="str">
        <x:v>bouillon, oignon, poulet, tortillas, légumes</x:v>
      </x:c>
      <x:c r="E121" s="33" t="n">
        <x:v>15</x:v>
      </x:c>
      <x:c r="F121" s="33" t="n">
        <x:v>35</x:v>
      </x:c>
      <x:c r="G121" s="56" t="n">
        <x:v>3.9</x:v>
      </x:c>
      <x:c r="H121" s="56" t="n">
        <x:v>3.9</x:v>
      </x:c>
      <x:c r="I121" s="33" t="n">
        <x:v>0</x:v>
      </x:c>
      <x:c r="J121" s="57" t="n">
        <x:v>11.4</x:v>
      </x:c>
      <x:c r="K121" s="57" t="n">
        <x:f>J121*'Hypothèses &amp; sources'!$E$4</x:f>
        <x:v>11.4</x:v>
      </x:c>
      <x:c r="L121" s="57" t="n">
        <x:f>J121*'Hypothèses &amp; sources'!$F$4</x:f>
        <x:v>12.084000000000001</x:v>
      </x:c>
      <x:c r="M121" s="57" t="n">
        <x:f>J121*'Hypothèses &amp; sources'!$G$4</x:f>
        <x:v>12.540000000000001</x:v>
      </x:c>
      <x:c r="N121" s="57" t="n">
        <x:f>J121*'Hypothèses &amp; sources'!$H$4</x:f>
        <x:v>12.654000000000002</x:v>
      </x:c>
      <x:c r="O121" s="57" t="n">
        <x:f>J121*'Hypothèses &amp; sources'!$I$4</x:f>
        <x:v>14.136000000000001</x:v>
      </x:c>
      <x:c r="P121" s="57" t="str">
        <x:v>Lidl</x:v>
      </x:c>
      <x:c r="Q121" s="57" t="n">
        <x:f>IF(P121="Lidl",K121,IF(P121="Super U",L121,IF(P121="Carrefour",M121,IF(P121="Auchan",N121,O121))))</x:f>
        <x:v>11.4</x:v>
      </x:c>
      <x:c r="R121" s="57" t="n">
        <x:f>Q121/'Hypothèses &amp; sources'!$B$4</x:f>
        <x:v>2.85</x:v>
      </x:c>
      <x:c r="S121" s="56" t="n">
        <x:f>MAX(0,'Hypothèses &amp; sources'!$B$5*MAX(0,MIN(100,'Hypothèses &amp; sources'!$B$10-R121*'Hypothèses &amp; sources'!$B$9))+'Hypothèses &amp; sources'!$B$6*(G121/5*100)+'Hypothèses &amp; sources'!$B$7*(H121/5*100)+'Hypothèses &amp; sources'!$B$8*MAX(0,MIN(100,'Hypothèses &amp; sources'!$B$12-E121*'Hypothèses &amp; sources'!$B$11))-T121)</x:f>
        <x:v>76.956</x:v>
      </x:c>
      <x:c r="T121" s="33" t="n">
        <x:v>0</x:v>
      </x:c>
    </x:row>
    <x:row r="122">
      <x:c r="A122" s="33" t="n">
        <x:v>118</x:v>
      </x:c>
      <x:c r="B122" s="38" t="str">
        <x:v>Dirty rice</x:v>
      </x:c>
      <x:c r="C122" s="38" t="str">
        <x:v>Riz / plat complet</x:v>
      </x:c>
      <x:c r="D122" s="38" t="str">
        <x:v>riz, bœuf haché ou saucisse, foie de volaille, poivron, céleri, épices</x:v>
      </x:c>
      <x:c r="E122" s="33" t="n">
        <x:v>20</x:v>
      </x:c>
      <x:c r="F122" s="33" t="n">
        <x:v>40</x:v>
      </x:c>
      <x:c r="G122" s="56" t="n">
        <x:v>4.6</x:v>
      </x:c>
      <x:c r="H122" s="56" t="n">
        <x:v>3.5</x:v>
      </x:c>
      <x:c r="I122" s="33" t="n">
        <x:v>1</x:v>
      </x:c>
      <x:c r="J122" s="57" t="n">
        <x:v>10.8</x:v>
      </x:c>
      <x:c r="K122" s="57" t="n">
        <x:f>J122*'Hypothèses &amp; sources'!$E$4</x:f>
        <x:v>10.8</x:v>
      </x:c>
      <x:c r="L122" s="57" t="n">
        <x:f>J122*'Hypothèses &amp; sources'!$F$4</x:f>
        <x:v>11.448000000000002</x:v>
      </x:c>
      <x:c r="M122" s="57" t="n">
        <x:f>J122*'Hypothèses &amp; sources'!$G$4</x:f>
        <x:v>11.880000000000003</x:v>
      </x:c>
      <x:c r="N122" s="57" t="n">
        <x:f>J122*'Hypothèses &amp; sources'!$H$4</x:f>
        <x:v>11.988000000000001</x:v>
      </x:c>
      <x:c r="O122" s="57" t="n">
        <x:f>J122*'Hypothèses &amp; sources'!$I$4</x:f>
        <x:v>13.392000000000001</x:v>
      </x:c>
      <x:c r="P122" s="57" t="str">
        <x:v>Super U</x:v>
      </x:c>
      <x:c r="Q122" s="57" t="n">
        <x:f>IF(P122="Lidl",K122,IF(P122="Super U",L122,IF(P122="Carrefour",M122,IF(P122="Auchan",N122,O122))))</x:f>
        <x:v>11.448000000000002</x:v>
      </x:c>
      <x:c r="R122" s="57" t="n">
        <x:f>Q122/'Hypothèses &amp; sources'!$B$4</x:f>
        <x:v>2.8620000000000005</x:v>
      </x:c>
      <x:c r="S122" s="56" t="n">
        <x:f>MAX(0,'Hypothèses &amp; sources'!$B$5*MAX(0,MIN(100,'Hypothèses &amp; sources'!$B$10-R122*'Hypothèses &amp; sources'!$B$9))+'Hypothèses &amp; sources'!$B$6*(G122/5*100)+'Hypothèses &amp; sources'!$B$7*(H122/5*100)+'Hypothèses &amp; sources'!$B$8*MAX(0,MIN(100,'Hypothèses &amp; sources'!$B$12-E122*'Hypothèses &amp; sources'!$B$11))-T122)</x:f>
        <x:v>78.05552</x:v>
      </x:c>
      <x:c r="T122" s="33" t="n">
        <x:v>0</x:v>
      </x:c>
    </x:row>
    <x:row r="123">
      <x:c r="A123" s="33" t="n">
        <x:v>119</x:v>
      </x:c>
      <x:c r="B123" s="38" t="str">
        <x:v>Smoked salmon frittata</x:v>
      </x:c>
      <x:c r="C123" s="38" t="str">
        <x:v>Plat complet</x:v>
      </x:c>
      <x:c r="D123" s="38" t="str">
        <x:v>œufs, saumon fumé</x:v>
      </x:c>
      <x:c r="E123" s="33" t="n">
        <x:v>10</x:v>
      </x:c>
      <x:c r="F123" s="33" t="n">
        <x:v>25</x:v>
      </x:c>
      <x:c r="G123" s="56" t="n">
        <x:v>3.6</x:v>
      </x:c>
      <x:c r="H123" s="56" t="n">
        <x:v>3.7</x:v>
      </x:c>
      <x:c r="I123" s="33" t="n">
        <x:v>1</x:v>
      </x:c>
      <x:c r="J123" s="57" t="n">
        <x:v>10.8</x:v>
      </x:c>
      <x:c r="K123" s="57" t="n">
        <x:f>J123*'Hypothèses &amp; sources'!$E$4</x:f>
        <x:v>10.8</x:v>
      </x:c>
      <x:c r="L123" s="57" t="n">
        <x:f>J123*'Hypothèses &amp; sources'!$F$4</x:f>
        <x:v>11.448000000000002</x:v>
      </x:c>
      <x:c r="M123" s="57" t="n">
        <x:f>J123*'Hypothèses &amp; sources'!$G$4</x:f>
        <x:v>11.880000000000003</x:v>
      </x:c>
      <x:c r="N123" s="57" t="n">
        <x:f>J123*'Hypothèses &amp; sources'!$H$4</x:f>
        <x:v>11.988000000000001</x:v>
      </x:c>
      <x:c r="O123" s="57" t="n">
        <x:f>J123*'Hypothèses &amp; sources'!$I$4</x:f>
        <x:v>13.392000000000001</x:v>
      </x:c>
      <x:c r="P123" s="57" t="str">
        <x:v>Super U</x:v>
      </x:c>
      <x:c r="Q123" s="57" t="n">
        <x:f>IF(P123="Lidl",K123,IF(P123="Super U",L123,IF(P123="Carrefour",M123,IF(P123="Auchan",N123,O123))))</x:f>
        <x:v>11.448000000000002</x:v>
      </x:c>
      <x:c r="R123" s="57" t="n">
        <x:f>Q123/'Hypothèses &amp; sources'!$B$4</x:f>
        <x:v>2.8620000000000005</x:v>
      </x:c>
      <x:c r="S123" s="56" t="n">
        <x:f>MAX(0,'Hypothèses &amp; sources'!$B$5*MAX(0,MIN(100,'Hypothèses &amp; sources'!$B$10-R123*'Hypothèses &amp; sources'!$B$9))+'Hypothèses &amp; sources'!$B$6*(G123/5*100)+'Hypothèses &amp; sources'!$B$7*(H123/5*100)+'Hypothèses &amp; sources'!$B$8*MAX(0,MIN(100,'Hypothèses &amp; sources'!$B$12-E123*'Hypothèses &amp; sources'!$B$11))-T123)</x:f>
        <x:v>75.81551999999999</x:v>
      </x:c>
      <x:c r="T123" s="33" t="n">
        <x:v>0</x:v>
      </x:c>
    </x:row>
    <x:row r="124">
      <x:c r="A124" s="33" t="n">
        <x:v>120</x:v>
      </x:c>
      <x:c r="B124" s="38" t="str">
        <x:v>Casserole de poulet parmesan</x:v>
      </x:c>
      <x:c r="C124" s="38" t="str">
        <x:v>Gratin / farci</x:v>
      </x:c>
      <x:c r="D124" s="38" t="str">
        <x:v>poulet, crème / fromage</x:v>
      </x:c>
      <x:c r="E124" s="33" t="n">
        <x:v>25</x:v>
      </x:c>
      <x:c r="F124" s="33" t="n">
        <x:v>55</x:v>
      </x:c>
      <x:c r="G124" s="56" t="n">
        <x:v>4.2</x:v>
      </x:c>
      <x:c r="H124" s="56" t="n">
        <x:v>3.4</x:v>
      </x:c>
      <x:c r="I124" s="33" t="n">
        <x:v>0</x:v>
      </x:c>
      <x:c r="J124" s="57" t="n">
        <x:v>11.7</x:v>
      </x:c>
      <x:c r="K124" s="57" t="n">
        <x:f>J124*'Hypothèses &amp; sources'!$E$4</x:f>
        <x:v>11.7</x:v>
      </x:c>
      <x:c r="L124" s="57" t="n">
        <x:f>J124*'Hypothèses &amp; sources'!$F$4</x:f>
        <x:v>12.402</x:v>
      </x:c>
      <x:c r="M124" s="57" t="n">
        <x:f>J124*'Hypothèses &amp; sources'!$G$4</x:f>
        <x:v>12.870000000000001</x:v>
      </x:c>
      <x:c r="N124" s="57" t="n">
        <x:f>J124*'Hypothèses &amp; sources'!$H$4</x:f>
        <x:v>12.987</x:v>
      </x:c>
      <x:c r="O124" s="57" t="n">
        <x:f>J124*'Hypothèses &amp; sources'!$I$4</x:f>
        <x:v>14.508</x:v>
      </x:c>
      <x:c r="P124" s="57" t="str">
        <x:v>Lidl</x:v>
      </x:c>
      <x:c r="Q124" s="57" t="n">
        <x:f>IF(P124="Lidl",K124,IF(P124="Super U",L124,IF(P124="Carrefour",M124,IF(P124="Auchan",N124,O124))))</x:f>
        <x:v>11.7</x:v>
      </x:c>
      <x:c r="R124" s="57" t="n">
        <x:f>Q124/'Hypothèses &amp; sources'!$B$4</x:f>
        <x:v>2.925</x:v>
      </x:c>
      <x:c r="S124" s="56" t="n">
        <x:f>MAX(0,'Hypothèses &amp; sources'!$B$5*MAX(0,MIN(100,'Hypothèses &amp; sources'!$B$10-R124*'Hypothèses &amp; sources'!$B$9))+'Hypothèses &amp; sources'!$B$6*(G124/5*100)+'Hypothèses &amp; sources'!$B$7*(H124/5*100)+'Hypothèses &amp; sources'!$B$8*MAX(0,MIN(100,'Hypothèses &amp; sources'!$B$12-E124*'Hypothèses &amp; sources'!$B$11))-T124)</x:f>
        <x:v>73.818</x:v>
      </x:c>
      <x:c r="T124" s="33" t="n">
        <x:v>0</x:v>
      </x:c>
    </x:row>
    <x:row r="125">
      <x:c r="A125" s="33" t="n">
        <x:v>121</x:v>
      </x:c>
      <x:c r="B125" s="38" t="str">
        <x:v>Saag de porc</x:v>
      </x:c>
      <x:c r="C125" s="38" t="str">
        <x:v>Curry / cuisine épicée</x:v>
      </x:c>
      <x:c r="D125" s="38" t="str">
        <x:v>oignon, ail, gingembre, épices, porc, légumes</x:v>
      </x:c>
      <x:c r="E125" s="33" t="n">
        <x:v>25</x:v>
      </x:c>
      <x:c r="F125" s="33" t="n">
        <x:v>55</x:v>
      </x:c>
      <x:c r="G125" s="56" t="n">
        <x:v>3.9</x:v>
      </x:c>
      <x:c r="H125" s="56" t="n">
        <x:v>3.3</x:v>
      </x:c>
      <x:c r="I125" s="33" t="n">
        <x:v>1</x:v>
      </x:c>
      <x:c r="J125" s="57" t="n">
        <x:v>11.1</x:v>
      </x:c>
      <x:c r="K125" s="57" t="n">
        <x:f>J125*'Hypothèses &amp; sources'!$E$4</x:f>
        <x:v>11.1</x:v>
      </x:c>
      <x:c r="L125" s="57" t="n">
        <x:f>J125*'Hypothèses &amp; sources'!$F$4</x:f>
        <x:v>11.766</x:v>
      </x:c>
      <x:c r="M125" s="57" t="n">
        <x:f>J125*'Hypothèses &amp; sources'!$G$4</x:f>
        <x:v>12.21</x:v>
      </x:c>
      <x:c r="N125" s="57" t="n">
        <x:f>J125*'Hypothèses &amp; sources'!$H$4</x:f>
        <x:v>12.321000000000002</x:v>
      </x:c>
      <x:c r="O125" s="57" t="n">
        <x:f>J125*'Hypothèses &amp; sources'!$I$4</x:f>
        <x:v>13.764</x:v>
      </x:c>
      <x:c r="P125" s="57" t="str">
        <x:v>Super U</x:v>
      </x:c>
      <x:c r="Q125" s="57" t="n">
        <x:f>IF(P125="Lidl",K125,IF(P125="Super U",L125,IF(P125="Carrefour",M125,IF(P125="Auchan",N125,O125))))</x:f>
        <x:v>11.766</x:v>
      </x:c>
      <x:c r="R125" s="57" t="n">
        <x:f>Q125/'Hypothèses &amp; sources'!$B$4</x:f>
        <x:v>2.9415</x:v>
      </x:c>
      <x:c r="S125" s="56" t="n">
        <x:f>MAX(0,'Hypothèses &amp; sources'!$B$5*MAX(0,MIN(100,'Hypothèses &amp; sources'!$B$10-R125*'Hypothèses &amp; sources'!$B$9))+'Hypothèses &amp; sources'!$B$6*(G125/5*100)+'Hypothèses &amp; sources'!$B$7*(H125/5*100)+'Hypothèses &amp; sources'!$B$8*MAX(0,MIN(100,'Hypothèses &amp; sources'!$B$12-E125*'Hypothèses &amp; sources'!$B$11))-T125)</x:f>
        <x:v>71.69484</x:v>
      </x:c>
      <x:c r="T125" s="33" t="n">
        <x:v>0</x:v>
      </x:c>
    </x:row>
    <x:row r="126">
      <x:c r="A126" s="33" t="n">
        <x:v>122</x:v>
      </x:c>
      <x:c r="B126" s="38" t="str">
        <x:v>Quiche sans croute pour l amateurs de viande</x:v>
      </x:c>
      <x:c r="C126" s="38" t="str">
        <x:v>Quiche / œufs</x:v>
      </x:c>
      <x:c r="D126" s="38" t="str">
        <x:v>œufs, bacon, saucisse, jambon, fromage, crème</x:v>
      </x:c>
      <x:c r="E126" s="33" t="n">
        <x:v>15</x:v>
      </x:c>
      <x:c r="F126" s="33" t="n">
        <x:v>45</x:v>
      </x:c>
      <x:c r="G126" s="56" t="n">
        <x:v>4.5</x:v>
      </x:c>
      <x:c r="H126" s="56" t="n">
        <x:v>2.8</x:v>
      </x:c>
      <x:c r="I126" s="33" t="n">
        <x:v>0</x:v>
      </x:c>
      <x:c r="J126" s="57" t="n">
        <x:v>11.8</x:v>
      </x:c>
      <x:c r="K126" s="57" t="n">
        <x:f>J126*'Hypothèses &amp; sources'!$E$4</x:f>
        <x:v>11.8</x:v>
      </x:c>
      <x:c r="L126" s="57" t="n">
        <x:f>J126*'Hypothèses &amp; sources'!$F$4</x:f>
        <x:v>12.508000000000001</x:v>
      </x:c>
      <x:c r="M126" s="57" t="n">
        <x:f>J126*'Hypothèses &amp; sources'!$G$4</x:f>
        <x:v>12.980000000000002</x:v>
      </x:c>
      <x:c r="N126" s="57" t="n">
        <x:f>J126*'Hypothèses &amp; sources'!$H$4</x:f>
        <x:v>13.098000000000003</x:v>
      </x:c>
      <x:c r="O126" s="57" t="n">
        <x:f>J126*'Hypothèses &amp; sources'!$I$4</x:f>
        <x:v>14.632000000000001</x:v>
      </x:c>
      <x:c r="P126" s="57" t="str">
        <x:v>Lidl</x:v>
      </x:c>
      <x:c r="Q126" s="57" t="n">
        <x:f>IF(P126="Lidl",K126,IF(P126="Super U",L126,IF(P126="Carrefour",M126,IF(P126="Auchan",N126,O126))))</x:f>
        <x:v>11.8</x:v>
      </x:c>
      <x:c r="R126" s="57" t="n">
        <x:f>Q126/'Hypothèses &amp; sources'!$B$4</x:f>
        <x:v>2.95</x:v>
      </x:c>
      <x:c r="S126" s="56" t="n">
        <x:f>MAX(0,'Hypothèses &amp; sources'!$B$5*MAX(0,MIN(100,'Hypothèses &amp; sources'!$B$10-R126*'Hypothèses &amp; sources'!$B$9))+'Hypothèses &amp; sources'!$B$6*(G126/5*100)+'Hypothèses &amp; sources'!$B$7*(H126/5*100)+'Hypothèses &amp; sources'!$B$8*MAX(0,MIN(100,'Hypothèses &amp; sources'!$B$12-E126*'Hypothèses &amp; sources'!$B$11))-T126)</x:f>
        <x:v>75.85199999999999</x:v>
      </x:c>
      <x:c r="T126" s="33" t="n">
        <x:v>0</x:v>
      </x:c>
    </x:row>
    <x:row r="127">
      <x:c r="A127" s="33" t="n">
        <x:v>123</x:v>
      </x:c>
      <x:c r="B127" s="38" t="str">
        <x:v>Poivrons farcis</x:v>
      </x:c>
      <x:c r="C127" s="38" t="str">
        <x:v>Gratin / farci</x:v>
      </x:c>
      <x:c r="D127" s="38" t="str">
        <x:v>poivrons, bœuf haché, riz, tomates, fromage</x:v>
      </x:c>
      <x:c r="E127" s="33" t="n">
        <x:v>25</x:v>
      </x:c>
      <x:c r="F127" s="33" t="n">
        <x:v>60</x:v>
      </x:c>
      <x:c r="G127" s="56" t="n">
        <x:v>4.7</x:v>
      </x:c>
      <x:c r="H127" s="56" t="n">
        <x:v>4.2</x:v>
      </x:c>
      <x:c r="I127" s="33" t="n">
        <x:v>0</x:v>
      </x:c>
      <x:c r="J127" s="57" t="n">
        <x:v>12</x:v>
      </x:c>
      <x:c r="K127" s="57" t="n">
        <x:f>J127*'Hypothèses &amp; sources'!$E$4</x:f>
        <x:v>12</x:v>
      </x:c>
      <x:c r="L127" s="57" t="n">
        <x:f>J127*'Hypothèses &amp; sources'!$F$4</x:f>
        <x:v>12.72</x:v>
      </x:c>
      <x:c r="M127" s="57" t="n">
        <x:f>J127*'Hypothèses &amp; sources'!$G$4</x:f>
        <x:v>13.200000000000001</x:v>
      </x:c>
      <x:c r="N127" s="57" t="n">
        <x:f>J127*'Hypothèses &amp; sources'!$H$4</x:f>
        <x:v>13.32</x:v>
      </x:c>
      <x:c r="O127" s="57" t="n">
        <x:f>J127*'Hypothèses &amp; sources'!$I$4</x:f>
        <x:v>14.879999999999999</x:v>
      </x:c>
      <x:c r="P127" s="57" t="str">
        <x:v>Lidl</x:v>
      </x:c>
      <x:c r="Q127" s="57" t="n">
        <x:f>IF(P127="Lidl",K127,IF(P127="Super U",L127,IF(P127="Carrefour",M127,IF(P127="Auchan",N127,O127))))</x:f>
        <x:v>12</x:v>
      </x:c>
      <x:c r="R127" s="57" t="n">
        <x:f>Q127/'Hypothèses &amp; sources'!$B$4</x:f>
        <x:v>3</x:v>
      </x:c>
      <x:c r="S127" s="56" t="n">
        <x:f>MAX(0,'Hypothèses &amp; sources'!$B$5*MAX(0,MIN(100,'Hypothèses &amp; sources'!$B$10-R127*'Hypothèses &amp; sources'!$B$9))+'Hypothèses &amp; sources'!$B$6*(G127/5*100)+'Hypothèses &amp; sources'!$B$7*(H127/5*100)+'Hypothèses &amp; sources'!$B$8*MAX(0,MIN(100,'Hypothèses &amp; sources'!$B$12-E127*'Hypothèses &amp; sources'!$B$11))-T127)</x:f>
        <x:v>79.12</x:v>
      </x:c>
      <x:c r="T127" s="33" t="n">
        <x:v>0</x:v>
      </x:c>
    </x:row>
    <x:row r="128">
      <x:c r="A128" s="33" t="n">
        <x:v>124</x:v>
      </x:c>
      <x:c r="B128" s="38" t="str">
        <x:v>Stuffed cabbage rolls / halupki</x:v>
      </x:c>
      <x:c r="C128" s="38" t="str">
        <x:v>Gratin / farci</x:v>
      </x:c>
      <x:c r="D128" s="38" t="str">
        <x:v>chou, bœuf et porc hachés, riz, tomates, oignon</x:v>
      </x:c>
      <x:c r="E128" s="33" t="n">
        <x:v>35</x:v>
      </x:c>
      <x:c r="F128" s="33" t="n">
        <x:v>90</x:v>
      </x:c>
      <x:c r="G128" s="56" t="n">
        <x:v>4.8</x:v>
      </x:c>
      <x:c r="H128" s="56" t="n">
        <x:v>4</x:v>
      </x:c>
      <x:c r="I128" s="33" t="n">
        <x:v>0</x:v>
      </x:c>
      <x:c r="J128" s="57" t="n">
        <x:v>12</x:v>
      </x:c>
      <x:c r="K128" s="57" t="n">
        <x:f>J128*'Hypothèses &amp; sources'!$E$4</x:f>
        <x:v>12</x:v>
      </x:c>
      <x:c r="L128" s="57" t="n">
        <x:f>J128*'Hypothèses &amp; sources'!$F$4</x:f>
        <x:v>12.72</x:v>
      </x:c>
      <x:c r="M128" s="57" t="n">
        <x:f>J128*'Hypothèses &amp; sources'!$G$4</x:f>
        <x:v>13.200000000000001</x:v>
      </x:c>
      <x:c r="N128" s="57" t="n">
        <x:f>J128*'Hypothèses &amp; sources'!$H$4</x:f>
        <x:v>13.32</x:v>
      </x:c>
      <x:c r="O128" s="57" t="n">
        <x:f>J128*'Hypothèses &amp; sources'!$I$4</x:f>
        <x:v>14.879999999999999</x:v>
      </x:c>
      <x:c r="P128" s="57" t="str">
        <x:v>Lidl</x:v>
      </x:c>
      <x:c r="Q128" s="57" t="n">
        <x:f>IF(P128="Lidl",K128,IF(P128="Super U",L128,IF(P128="Carrefour",M128,IF(P128="Auchan",N128,O128))))</x:f>
        <x:v>12</x:v>
      </x:c>
      <x:c r="R128" s="57" t="n">
        <x:f>Q128/'Hypothèses &amp; sources'!$B$4</x:f>
        <x:v>3</x:v>
      </x:c>
      <x:c r="S128" s="56" t="n">
        <x:f>MAX(0,'Hypothèses &amp; sources'!$B$5*MAX(0,MIN(100,'Hypothèses &amp; sources'!$B$10-R128*'Hypothèses &amp; sources'!$B$9))+'Hypothèses &amp; sources'!$B$6*(G128/5*100)+'Hypothèses &amp; sources'!$B$7*(H128/5*100)+'Hypothèses &amp; sources'!$B$8*MAX(0,MIN(100,'Hypothèses &amp; sources'!$B$12-E128*'Hypothèses &amp; sources'!$B$11))-T128)</x:f>
        <x:v>76.32</x:v>
      </x:c>
      <x:c r="T128" s="33" t="n">
        <x:v>0</x:v>
      </x:c>
    </x:row>
    <x:row r="129">
      <x:c r="A129" s="33" t="n">
        <x:v>125</x:v>
      </x:c>
      <x:c r="B129" s="38" t="str">
        <x:v>Best-ever Italian meatballs</x:v>
      </x:c>
      <x:c r="C129" s="38" t="str">
        <x:v>Plat de viande</x:v>
      </x:c>
      <x:c r="D129" s="38" t="str">
        <x:v>bœuf et porc hachés, œuf, chapelure, parmesan, sauce tomate</x:v>
      </x:c>
      <x:c r="E129" s="33" t="n">
        <x:v>25</x:v>
      </x:c>
      <x:c r="F129" s="33" t="n">
        <x:v>45</x:v>
      </x:c>
      <x:c r="G129" s="56" t="n">
        <x:v>4.5</x:v>
      </x:c>
      <x:c r="H129" s="56" t="n">
        <x:v>3.2</x:v>
      </x:c>
      <x:c r="I129" s="33" t="n">
        <x:v>0</x:v>
      </x:c>
      <x:c r="J129" s="57" t="n">
        <x:v>12</x:v>
      </x:c>
      <x:c r="K129" s="57" t="n">
        <x:f>J129*'Hypothèses &amp; sources'!$E$4</x:f>
        <x:v>12</x:v>
      </x:c>
      <x:c r="L129" s="57" t="n">
        <x:f>J129*'Hypothèses &amp; sources'!$F$4</x:f>
        <x:v>12.72</x:v>
      </x:c>
      <x:c r="M129" s="57" t="n">
        <x:f>J129*'Hypothèses &amp; sources'!$G$4</x:f>
        <x:v>13.200000000000001</x:v>
      </x:c>
      <x:c r="N129" s="57" t="n">
        <x:f>J129*'Hypothèses &amp; sources'!$H$4</x:f>
        <x:v>13.32</x:v>
      </x:c>
      <x:c r="O129" s="57" t="n">
        <x:f>J129*'Hypothèses &amp; sources'!$I$4</x:f>
        <x:v>14.879999999999999</x:v>
      </x:c>
      <x:c r="P129" s="57" t="str">
        <x:v>Lidl</x:v>
      </x:c>
      <x:c r="Q129" s="57" t="n">
        <x:f>IF(P129="Lidl",K129,IF(P129="Super U",L129,IF(P129="Carrefour",M129,IF(P129="Auchan",N129,O129))))</x:f>
        <x:v>12</x:v>
      </x:c>
      <x:c r="R129" s="57" t="n">
        <x:f>Q129/'Hypothèses &amp; sources'!$B$4</x:f>
        <x:v>3</x:v>
      </x:c>
      <x:c r="S129" s="56" t="n">
        <x:f>MAX(0,'Hypothèses &amp; sources'!$B$5*MAX(0,MIN(100,'Hypothèses &amp; sources'!$B$10-R129*'Hypothèses &amp; sources'!$B$9))+'Hypothèses &amp; sources'!$B$6*(G129/5*100)+'Hypothèses &amp; sources'!$B$7*(H129/5*100)+'Hypothèses &amp; sources'!$B$8*MAX(0,MIN(100,'Hypothèses &amp; sources'!$B$12-E129*'Hypothèses &amp; sources'!$B$11))-T129)</x:f>
        <x:v>74.39999999999999</x:v>
      </x:c>
      <x:c r="T129" s="33" t="n">
        <x:v>0</x:v>
      </x:c>
    </x:row>
    <x:row r="130">
      <x:c r="A130" s="33" t="n">
        <x:v>126</x:v>
      </x:c>
      <x:c r="B130" s="38" t="str">
        <x:v>Pates au poulet tikka masala</x:v>
      </x:c>
      <x:c r="C130" s="38" t="str">
        <x:v>Curry / cuisine épicée</x:v>
      </x:c>
      <x:c r="D130" s="38" t="str">
        <x:v>oignon, ail, gingembre, épices, pâtes / nouilles, poulet, légumes</x:v>
      </x:c>
      <x:c r="E130" s="33" t="n">
        <x:v>25</x:v>
      </x:c>
      <x:c r="F130" s="33" t="n">
        <x:v>55</x:v>
      </x:c>
      <x:c r="G130" s="56" t="n">
        <x:v>4.2</x:v>
      </x:c>
      <x:c r="H130" s="56" t="n">
        <x:v>3.7</x:v>
      </x:c>
      <x:c r="I130" s="33" t="n">
        <x:v>1</x:v>
      </x:c>
      <x:c r="J130" s="57" t="n">
        <x:v>11.4</x:v>
      </x:c>
      <x:c r="K130" s="57" t="n">
        <x:f>J130*'Hypothèses &amp; sources'!$E$4</x:f>
        <x:v>11.4</x:v>
      </x:c>
      <x:c r="L130" s="57" t="n">
        <x:f>J130*'Hypothèses &amp; sources'!$F$4</x:f>
        <x:v>12.084000000000001</x:v>
      </x:c>
      <x:c r="M130" s="57" t="n">
        <x:f>J130*'Hypothèses &amp; sources'!$G$4</x:f>
        <x:v>12.540000000000001</x:v>
      </x:c>
      <x:c r="N130" s="57" t="n">
        <x:f>J130*'Hypothèses &amp; sources'!$H$4</x:f>
        <x:v>12.654000000000002</x:v>
      </x:c>
      <x:c r="O130" s="57" t="n">
        <x:f>J130*'Hypothèses &amp; sources'!$I$4</x:f>
        <x:v>14.136000000000001</x:v>
      </x:c>
      <x:c r="P130" s="57" t="str">
        <x:v>Super U</x:v>
      </x:c>
      <x:c r="Q130" s="57" t="n">
        <x:f>IF(P130="Lidl",K130,IF(P130="Super U",L130,IF(P130="Carrefour",M130,IF(P130="Auchan",N130,O130))))</x:f>
        <x:v>12.084000000000001</x:v>
      </x:c>
      <x:c r="R130" s="57" t="n">
        <x:f>Q130/'Hypothèses &amp; sources'!$B$4</x:f>
        <x:v>3.0210000000000004</x:v>
      </x:c>
      <x:c r="S130" s="56" t="n">
        <x:f>MAX(0,'Hypothèses &amp; sources'!$B$5*MAX(0,MIN(100,'Hypothèses &amp; sources'!$B$10-R130*'Hypothèses &amp; sources'!$B$9))+'Hypothèses &amp; sources'!$B$6*(G130/5*100)+'Hypothèses &amp; sources'!$B$7*(H130/5*100)+'Hypothèses &amp; sources'!$B$8*MAX(0,MIN(100,'Hypothèses &amp; sources'!$B$12-E130*'Hypothèses &amp; sources'!$B$11))-T130)</x:f>
        <x:v>74.41416</x:v>
      </x:c>
      <x:c r="T130" s="33" t="n">
        <x:v>0</x:v>
      </x:c>
    </x:row>
    <x:row r="131">
      <x:c r="A131" s="33" t="n">
        <x:v>127</x:v>
      </x:c>
      <x:c r="B131" s="38" t="str">
        <x:v>Biryani au paneer</x:v>
      </x:c>
      <x:c r="C131" s="38" t="str">
        <x:v>Biryani / végétarien</x:v>
      </x:c>
      <x:c r="D131" s="38" t="str">
        <x:v>paneer, riz basmati, oignon, tomates, yaourt, épices</x:v>
      </x:c>
      <x:c r="E131" s="33" t="n">
        <x:v>30</x:v>
      </x:c>
      <x:c r="F131" s="33" t="n">
        <x:v>60</x:v>
      </x:c>
      <x:c r="G131" s="56" t="n">
        <x:v>4.5</x:v>
      </x:c>
      <x:c r="H131" s="56" t="n">
        <x:v>4</x:v>
      </x:c>
      <x:c r="I131" s="33" t="n">
        <x:v>2</x:v>
      </x:c>
      <x:c r="J131" s="57" t="n">
        <x:v>11</x:v>
      </x:c>
      <x:c r="K131" s="57" t="n">
        <x:f>J131*'Hypothèses &amp; sources'!$E$4</x:f>
        <x:v>11</x:v>
      </x:c>
      <x:c r="L131" s="57" t="n">
        <x:f>J131*'Hypothèses &amp; sources'!$F$4</x:f>
        <x:v>11.66</x:v>
      </x:c>
      <x:c r="M131" s="57" t="n">
        <x:f>J131*'Hypothèses &amp; sources'!$G$4</x:f>
        <x:v>12.100000000000001</x:v>
      </x:c>
      <x:c r="N131" s="57" t="n">
        <x:f>J131*'Hypothèses &amp; sources'!$H$4</x:f>
        <x:v>12.21</x:v>
      </x:c>
      <x:c r="O131" s="57" t="n">
        <x:f>J131*'Hypothèses &amp; sources'!$I$4</x:f>
        <x:v>13.64</x:v>
      </x:c>
      <x:c r="P131" s="57" t="str">
        <x:v>Carrefour</x:v>
      </x:c>
      <x:c r="Q131" s="57" t="n">
        <x:f>IF(P131="Lidl",K131,IF(P131="Super U",L131,IF(P131="Carrefour",M131,IF(P131="Auchan",N131,O131))))</x:f>
        <x:v>12.100000000000001</x:v>
      </x:c>
      <x:c r="R131" s="57" t="n">
        <x:f>Q131/'Hypothèses &amp; sources'!$B$4</x:f>
        <x:v>3.0250000000000004</x:v>
      </x:c>
      <x:c r="S131" s="56" t="n">
        <x:f>MAX(0,'Hypothèses &amp; sources'!$B$5*MAX(0,MIN(100,'Hypothèses &amp; sources'!$B$10-R131*'Hypothèses &amp; sources'!$B$9))+'Hypothèses &amp; sources'!$B$6*(G131/5*100)+'Hypothèses &amp; sources'!$B$7*(H131/5*100)+'Hypothèses &amp; sources'!$B$8*MAX(0,MIN(100,'Hypothèses &amp; sources'!$B$12-E131*'Hypothèses &amp; sources'!$B$11))-T131)</x:f>
        <x:v>75.834</x:v>
      </x:c>
      <x:c r="T131" s="33" t="n">
        <x:v>0</x:v>
      </x:c>
    </x:row>
    <x:row r="132">
      <x:c r="A132" s="33" t="n">
        <x:v>128</x:v>
      </x:c>
      <x:c r="B132" s="38" t="str">
        <x:v>Chicken pesto fettucine</x:v>
      </x:c>
      <x:c r="C132" s="38" t="str">
        <x:v>Pâtes / poulet</x:v>
      </x:c>
      <x:c r="D132" s="38" t="str">
        <x:v>fettuccine, poulet, pesto, crème, parmesan</x:v>
      </x:c>
      <x:c r="E132" s="33" t="n">
        <x:v>20</x:v>
      </x:c>
      <x:c r="F132" s="33" t="n">
        <x:v>35</x:v>
      </x:c>
      <x:c r="G132" s="56" t="n">
        <x:v>4.5</x:v>
      </x:c>
      <x:c r="H132" s="56" t="n">
        <x:v>3.5</x:v>
      </x:c>
      <x:c r="I132" s="33" t="n">
        <x:v>0</x:v>
      </x:c>
      <x:c r="J132" s="57" t="n">
        <x:v>12.2</x:v>
      </x:c>
      <x:c r="K132" s="57" t="n">
        <x:f>J132*'Hypothèses &amp; sources'!$E$4</x:f>
        <x:v>12.2</x:v>
      </x:c>
      <x:c r="L132" s="57" t="n">
        <x:f>J132*'Hypothèses &amp; sources'!$F$4</x:f>
        <x:v>12.932</x:v>
      </x:c>
      <x:c r="M132" s="57" t="n">
        <x:f>J132*'Hypothèses &amp; sources'!$G$4</x:f>
        <x:v>13.42</x:v>
      </x:c>
      <x:c r="N132" s="57" t="n">
        <x:f>J132*'Hypothèses &amp; sources'!$H$4</x:f>
        <x:v>13.542</x:v>
      </x:c>
      <x:c r="O132" s="57" t="n">
        <x:f>J132*'Hypothèses &amp; sources'!$I$4</x:f>
        <x:v>15.127999999999998</x:v>
      </x:c>
      <x:c r="P132" s="57" t="str">
        <x:v>Lidl</x:v>
      </x:c>
      <x:c r="Q132" s="57" t="n">
        <x:f>IF(P132="Lidl",K132,IF(P132="Super U",L132,IF(P132="Carrefour",M132,IF(P132="Auchan",N132,O132))))</x:f>
        <x:v>12.2</x:v>
      </x:c>
      <x:c r="R132" s="57" t="n">
        <x:f>Q132/'Hypothèses &amp; sources'!$B$4</x:f>
        <x:v>3.05</x:v>
      </x:c>
      <x:c r="S132" s="56" t="n">
        <x:f>MAX(0,'Hypothèses &amp; sources'!$B$5*MAX(0,MIN(100,'Hypothèses &amp; sources'!$B$10-R132*'Hypothèses &amp; sources'!$B$9))+'Hypothèses &amp; sources'!$B$6*(G132/5*100)+'Hypothèses &amp; sources'!$B$7*(H132/5*100)+'Hypothèses &amp; sources'!$B$8*MAX(0,MIN(100,'Hypothèses &amp; sources'!$B$12-E132*'Hypothèses &amp; sources'!$B$11))-T132)</x:f>
        <x:v>76.548</x:v>
      </x:c>
      <x:c r="T132" s="33" t="n">
        <x:v>0</x:v>
      </x:c>
    </x:row>
    <x:row r="133">
      <x:c r="A133" s="33" t="n">
        <x:v>129</x:v>
      </x:c>
      <x:c r="B133" s="38" t="str">
        <x:v>Pain de viande</x:v>
      </x:c>
      <x:c r="C133" s="38" t="str">
        <x:v>Plat de viande</x:v>
      </x:c>
      <x:c r="D133" s="38" t="str">
        <x:v>bœuf haché, œufs, chapelure, oignon, sauce tomate</x:v>
      </x:c>
      <x:c r="E133" s="33" t="n">
        <x:v>20</x:v>
      </x:c>
      <x:c r="F133" s="33" t="n">
        <x:v>60</x:v>
      </x:c>
      <x:c r="G133" s="56" t="n">
        <x:v>4.6</x:v>
      </x:c>
      <x:c r="H133" s="56" t="n">
        <x:v>3.2</x:v>
      </x:c>
      <x:c r="I133" s="33" t="n">
        <x:v>0</x:v>
      </x:c>
      <x:c r="J133" s="57" t="n">
        <x:v>12.2</x:v>
      </x:c>
      <x:c r="K133" s="57" t="n">
        <x:f>J133*'Hypothèses &amp; sources'!$E$4</x:f>
        <x:v>12.2</x:v>
      </x:c>
      <x:c r="L133" s="57" t="n">
        <x:f>J133*'Hypothèses &amp; sources'!$F$4</x:f>
        <x:v>12.932</x:v>
      </x:c>
      <x:c r="M133" s="57" t="n">
        <x:f>J133*'Hypothèses &amp; sources'!$G$4</x:f>
        <x:v>13.42</x:v>
      </x:c>
      <x:c r="N133" s="57" t="n">
        <x:f>J133*'Hypothèses &amp; sources'!$H$4</x:f>
        <x:v>13.542</x:v>
      </x:c>
      <x:c r="O133" s="57" t="n">
        <x:f>J133*'Hypothèses &amp; sources'!$I$4</x:f>
        <x:v>15.127999999999998</x:v>
      </x:c>
      <x:c r="P133" s="57" t="str">
        <x:v>Lidl</x:v>
      </x:c>
      <x:c r="Q133" s="57" t="n">
        <x:f>IF(P133="Lidl",K133,IF(P133="Super U",L133,IF(P133="Carrefour",M133,IF(P133="Auchan",N133,O133))))</x:f>
        <x:v>12.2</x:v>
      </x:c>
      <x:c r="R133" s="57" t="n">
        <x:f>Q133/'Hypothèses &amp; sources'!$B$4</x:f>
        <x:v>3.05</x:v>
      </x:c>
      <x:c r="S133" s="56" t="n">
        <x:f>MAX(0,'Hypothèses &amp; sources'!$B$5*MAX(0,MIN(100,'Hypothèses &amp; sources'!$B$10-R133*'Hypothèses &amp; sources'!$B$9))+'Hypothèses &amp; sources'!$B$6*(G133/5*100)+'Hypothèses &amp; sources'!$B$7*(H133/5*100)+'Hypothèses &amp; sources'!$B$8*MAX(0,MIN(100,'Hypothèses &amp; sources'!$B$12-E133*'Hypothèses &amp; sources'!$B$11))-T133)</x:f>
        <x:v>76.028</x:v>
      </x:c>
      <x:c r="T133" s="33" t="n">
        <x:v>0</x:v>
      </x:c>
    </x:row>
    <x:row r="134">
      <x:c r="A134" s="33" t="n">
        <x:v>130</x:v>
      </x:c>
      <x:c r="B134" s="38" t="str">
        <x:v>Mushroom pork ragout</x:v>
      </x:c>
      <x:c r="C134" s="38" t="str">
        <x:v>Mijoté / curry</x:v>
      </x:c>
      <x:c r="D134" s="38" t="str">
        <x:v>oignon, bouillon, épices, champignons, porc</x:v>
      </x:c>
      <x:c r="E134" s="33" t="n">
        <x:v>25</x:v>
      </x:c>
      <x:c r="F134" s="33" t="n">
        <x:v>75</x:v>
      </x:c>
      <x:c r="G134" s="56" t="n">
        <x:v>4.3</x:v>
      </x:c>
      <x:c r="H134" s="56" t="n">
        <x:v>3.1</x:v>
      </x:c>
      <x:c r="I134" s="33" t="n">
        <x:v>0</x:v>
      </x:c>
      <x:c r="J134" s="57" t="n">
        <x:v>12.4</x:v>
      </x:c>
      <x:c r="K134" s="57" t="n">
        <x:f>J134*'Hypothèses &amp; sources'!$E$4</x:f>
        <x:v>12.4</x:v>
      </x:c>
      <x:c r="L134" s="57" t="n">
        <x:f>J134*'Hypothèses &amp; sources'!$F$4</x:f>
        <x:v>13.144000000000002</x:v>
      </x:c>
      <x:c r="M134" s="57" t="n">
        <x:f>J134*'Hypothèses &amp; sources'!$G$4</x:f>
        <x:v>13.640000000000002</x:v>
      </x:c>
      <x:c r="N134" s="57" t="n">
        <x:f>J134*'Hypothèses &amp; sources'!$H$4</x:f>
        <x:v>13.764000000000001</x:v>
      </x:c>
      <x:c r="O134" s="57" t="n">
        <x:f>J134*'Hypothèses &amp; sources'!$I$4</x:f>
        <x:v>15.376</x:v>
      </x:c>
      <x:c r="P134" s="57" t="str">
        <x:v>Lidl</x:v>
      </x:c>
      <x:c r="Q134" s="57" t="n">
        <x:f>IF(P134="Lidl",K134,IF(P134="Super U",L134,IF(P134="Carrefour",M134,IF(P134="Auchan",N134,O134))))</x:f>
        <x:v>12.4</x:v>
      </x:c>
      <x:c r="R134" s="57" t="n">
        <x:f>Q134/'Hypothèses &amp; sources'!$B$4</x:f>
        <x:v>3.1</x:v>
      </x:c>
      <x:c r="S134" s="56" t="n">
        <x:f>MAX(0,'Hypothèses &amp; sources'!$B$5*MAX(0,MIN(100,'Hypothèses &amp; sources'!$B$10-R134*'Hypothèses &amp; sources'!$B$9))+'Hypothèses &amp; sources'!$B$6*(G134/5*100)+'Hypothèses &amp; sources'!$B$7*(H134/5*100)+'Hypothèses &amp; sources'!$B$8*MAX(0,MIN(100,'Hypothèses &amp; sources'!$B$12-E134*'Hypothèses &amp; sources'!$B$11))-T134)</x:f>
        <x:v>72.416</x:v>
      </x:c>
      <x:c r="T134" s="33" t="n">
        <x:v>0</x:v>
      </x:c>
    </x:row>
    <x:row r="135">
      <x:c r="A135" s="33" t="n">
        <x:v>131</x:v>
      </x:c>
      <x:c r="B135" s="38" t="str">
        <x:v>Beef ragu</x:v>
      </x:c>
      <x:c r="C135" s="38" t="str">
        <x:v>Plat complet</x:v>
      </x:c>
      <x:c r="D135" s="38" t="str">
        <x:v>bœuf à mijoter</x:v>
      </x:c>
      <x:c r="E135" s="33" t="n">
        <x:v>20</x:v>
      </x:c>
      <x:c r="F135" s="33" t="n">
        <x:v>40</x:v>
      </x:c>
      <x:c r="G135" s="56" t="n">
        <x:v>4</x:v>
      </x:c>
      <x:c r="H135" s="56" t="n">
        <x:v>3.1</x:v>
      </x:c>
      <x:c r="I135" s="33" t="n">
        <x:v>0</x:v>
      </x:c>
      <x:c r="J135" s="57" t="n">
        <x:v>12.4</x:v>
      </x:c>
      <x:c r="K135" s="57" t="n">
        <x:f>J135*'Hypothèses &amp; sources'!$E$4</x:f>
        <x:v>12.4</x:v>
      </x:c>
      <x:c r="L135" s="57" t="n">
        <x:f>J135*'Hypothèses &amp; sources'!$F$4</x:f>
        <x:v>13.144000000000002</x:v>
      </x:c>
      <x:c r="M135" s="57" t="n">
        <x:f>J135*'Hypothèses &amp; sources'!$G$4</x:f>
        <x:v>13.640000000000002</x:v>
      </x:c>
      <x:c r="N135" s="57" t="n">
        <x:f>J135*'Hypothèses &amp; sources'!$H$4</x:f>
        <x:v>13.764000000000001</x:v>
      </x:c>
      <x:c r="O135" s="57" t="n">
        <x:f>J135*'Hypothèses &amp; sources'!$I$4</x:f>
        <x:v>15.376</x:v>
      </x:c>
      <x:c r="P135" s="57" t="str">
        <x:v>Lidl</x:v>
      </x:c>
      <x:c r="Q135" s="57" t="n">
        <x:f>IF(P135="Lidl",K135,IF(P135="Super U",L135,IF(P135="Carrefour",M135,IF(P135="Auchan",N135,O135))))</x:f>
        <x:v>12.4</x:v>
      </x:c>
      <x:c r="R135" s="57" t="n">
        <x:f>Q135/'Hypothèses &amp; sources'!$B$4</x:f>
        <x:v>3.1</x:v>
      </x:c>
      <x:c r="S135" s="56" t="n">
        <x:f>MAX(0,'Hypothèses &amp; sources'!$B$5*MAX(0,MIN(100,'Hypothèses &amp; sources'!$B$10-R135*'Hypothèses &amp; sources'!$B$9))+'Hypothèses &amp; sources'!$B$6*(G135/5*100)+'Hypothèses &amp; sources'!$B$7*(H135/5*100)+'Hypothèses &amp; sources'!$B$8*MAX(0,MIN(100,'Hypothèses &amp; sources'!$B$12-E135*'Hypothèses &amp; sources'!$B$11))-T135)</x:f>
        <x:v>72.056</x:v>
      </x:c>
      <x:c r="T135" s="33" t="n">
        <x:v>0</x:v>
      </x:c>
    </x:row>
    <x:row r="136">
      <x:c r="A136" s="33" t="n">
        <x:v>132</x:v>
      </x:c>
      <x:c r="B136" s="38" t="str">
        <x:v>Boeuf salé</x:v>
      </x:c>
      <x:c r="C136" s="38" t="str">
        <x:v>Plat complet</x:v>
      </x:c>
      <x:c r="D136" s="38" t="str">
        <x:v>bœuf à mijoter</x:v>
      </x:c>
      <x:c r="E136" s="33" t="n">
        <x:v>20</x:v>
      </x:c>
      <x:c r="F136" s="33" t="n">
        <x:v>40</x:v>
      </x:c>
      <x:c r="G136" s="56" t="n">
        <x:v>4</x:v>
      </x:c>
      <x:c r="H136" s="56" t="n">
        <x:v>3.1</x:v>
      </x:c>
      <x:c r="I136" s="33" t="n">
        <x:v>0</x:v>
      </x:c>
      <x:c r="J136" s="57" t="n">
        <x:v>12.4</x:v>
      </x:c>
      <x:c r="K136" s="57" t="n">
        <x:f>J136*'Hypothèses &amp; sources'!$E$4</x:f>
        <x:v>12.4</x:v>
      </x:c>
      <x:c r="L136" s="57" t="n">
        <x:f>J136*'Hypothèses &amp; sources'!$F$4</x:f>
        <x:v>13.144000000000002</x:v>
      </x:c>
      <x:c r="M136" s="57" t="n">
        <x:f>J136*'Hypothèses &amp; sources'!$G$4</x:f>
        <x:v>13.640000000000002</x:v>
      </x:c>
      <x:c r="N136" s="57" t="n">
        <x:f>J136*'Hypothèses &amp; sources'!$H$4</x:f>
        <x:v>13.764000000000001</x:v>
      </x:c>
      <x:c r="O136" s="57" t="n">
        <x:f>J136*'Hypothèses &amp; sources'!$I$4</x:f>
        <x:v>15.376</x:v>
      </x:c>
      <x:c r="P136" s="57" t="str">
        <x:v>Lidl</x:v>
      </x:c>
      <x:c r="Q136" s="57" t="n">
        <x:f>IF(P136="Lidl",K136,IF(P136="Super U",L136,IF(P136="Carrefour",M136,IF(P136="Auchan",N136,O136))))</x:f>
        <x:v>12.4</x:v>
      </x:c>
      <x:c r="R136" s="57" t="n">
        <x:f>Q136/'Hypothèses &amp; sources'!$B$4</x:f>
        <x:v>3.1</x:v>
      </x:c>
      <x:c r="S136" s="56" t="n">
        <x:f>MAX(0,'Hypothèses &amp; sources'!$B$5*MAX(0,MIN(100,'Hypothèses &amp; sources'!$B$10-R136*'Hypothèses &amp; sources'!$B$9))+'Hypothèses &amp; sources'!$B$6*(G136/5*100)+'Hypothèses &amp; sources'!$B$7*(H136/5*100)+'Hypothèses &amp; sources'!$B$8*MAX(0,MIN(100,'Hypothèses &amp; sources'!$B$12-E136*'Hypothèses &amp; sources'!$B$11))-T136)</x:f>
        <x:v>72.056</x:v>
      </x:c>
      <x:c r="T136" s="33" t="n">
        <x:v>0</x:v>
      </x:c>
    </x:row>
    <x:row r="137">
      <x:c r="A137" s="33" t="n">
        <x:v>133</x:v>
      </x:c>
      <x:c r="B137" s="38" t="str">
        <x:v>Morceaux de boeuf suedois</x:v>
      </x:c>
      <x:c r="C137" s="38" t="str">
        <x:v>Plat complet</x:v>
      </x:c>
      <x:c r="D137" s="38" t="str">
        <x:v>bœuf à mijoter</x:v>
      </x:c>
      <x:c r="E137" s="33" t="n">
        <x:v>20</x:v>
      </x:c>
      <x:c r="F137" s="33" t="n">
        <x:v>40</x:v>
      </x:c>
      <x:c r="G137" s="56" t="n">
        <x:v>4</x:v>
      </x:c>
      <x:c r="H137" s="56" t="n">
        <x:v>3.1</x:v>
      </x:c>
      <x:c r="I137" s="33" t="n">
        <x:v>0</x:v>
      </x:c>
      <x:c r="J137" s="57" t="n">
        <x:v>12.4</x:v>
      </x:c>
      <x:c r="K137" s="57" t="n">
        <x:f>J137*'Hypothèses &amp; sources'!$E$4</x:f>
        <x:v>12.4</x:v>
      </x:c>
      <x:c r="L137" s="57" t="n">
        <x:f>J137*'Hypothèses &amp; sources'!$F$4</x:f>
        <x:v>13.144000000000002</x:v>
      </x:c>
      <x:c r="M137" s="57" t="n">
        <x:f>J137*'Hypothèses &amp; sources'!$G$4</x:f>
        <x:v>13.640000000000002</x:v>
      </x:c>
      <x:c r="N137" s="57" t="n">
        <x:f>J137*'Hypothèses &amp; sources'!$H$4</x:f>
        <x:v>13.764000000000001</x:v>
      </x:c>
      <x:c r="O137" s="57" t="n">
        <x:f>J137*'Hypothèses &amp; sources'!$I$4</x:f>
        <x:v>15.376</x:v>
      </x:c>
      <x:c r="P137" s="57" t="str">
        <x:v>Lidl</x:v>
      </x:c>
      <x:c r="Q137" s="57" t="n">
        <x:f>IF(P137="Lidl",K137,IF(P137="Super U",L137,IF(P137="Carrefour",M137,IF(P137="Auchan",N137,O137))))</x:f>
        <x:v>12.4</x:v>
      </x:c>
      <x:c r="R137" s="57" t="n">
        <x:f>Q137/'Hypothèses &amp; sources'!$B$4</x:f>
        <x:v>3.1</x:v>
      </x:c>
      <x:c r="S137" s="56" t="n">
        <x:f>MAX(0,'Hypothèses &amp; sources'!$B$5*MAX(0,MIN(100,'Hypothèses &amp; sources'!$B$10-R137*'Hypothèses &amp; sources'!$B$9))+'Hypothèses &amp; sources'!$B$6*(G137/5*100)+'Hypothèses &amp; sources'!$B$7*(H137/5*100)+'Hypothèses &amp; sources'!$B$8*MAX(0,MIN(100,'Hypothèses &amp; sources'!$B$12-E137*'Hypothèses &amp; sources'!$B$11))-T137)</x:f>
        <x:v>72.056</x:v>
      </x:c>
      <x:c r="T137" s="33" t="n">
        <x:v>0</x:v>
      </x:c>
    </x:row>
    <x:row r="138">
      <x:c r="A138" s="33" t="n">
        <x:v>134</x:v>
      </x:c>
      <x:c r="B138" s="38" t="str">
        <x:v>One-pot pasta with bolognese</x:v>
      </x:c>
      <x:c r="C138" s="38" t="str">
        <x:v>Pâtes / bœuf</x:v>
      </x:c>
      <x:c r="D138" s="38" t="str">
        <x:v>pâtes, bœuf haché, tomates, carotte, céleri, oignon, parmesan</x:v>
      </x:c>
      <x:c r="E138" s="33" t="n">
        <x:v>20</x:v>
      </x:c>
      <x:c r="F138" s="33" t="n">
        <x:v>40</x:v>
      </x:c>
      <x:c r="G138" s="56" t="n">
        <x:v>4.8</x:v>
      </x:c>
      <x:c r="H138" s="56" t="n">
        <x:v>4.1</x:v>
      </x:c>
      <x:c r="I138" s="33" t="n">
        <x:v>0</x:v>
      </x:c>
      <x:c r="J138" s="57" t="n">
        <x:v>12.5</x:v>
      </x:c>
      <x:c r="K138" s="57" t="n">
        <x:f>J138*'Hypothèses &amp; sources'!$E$4</x:f>
        <x:v>12.5</x:v>
      </x:c>
      <x:c r="L138" s="57" t="n">
        <x:f>J138*'Hypothèses &amp; sources'!$F$4</x:f>
        <x:v>13.25</x:v>
      </x:c>
      <x:c r="M138" s="57" t="n">
        <x:f>J138*'Hypothèses &amp; sources'!$G$4</x:f>
        <x:v>13.750000000000002</x:v>
      </x:c>
      <x:c r="N138" s="57" t="n">
        <x:f>J138*'Hypothèses &amp; sources'!$H$4</x:f>
        <x:v>13.875000000000002</x:v>
      </x:c>
      <x:c r="O138" s="57" t="n">
        <x:f>J138*'Hypothèses &amp; sources'!$I$4</x:f>
        <x:v>15.5</x:v>
      </x:c>
      <x:c r="P138" s="57" t="str">
        <x:v>Lidl</x:v>
      </x:c>
      <x:c r="Q138" s="57" t="n">
        <x:f>IF(P138="Lidl",K138,IF(P138="Super U",L138,IF(P138="Carrefour",M138,IF(P138="Auchan",N138,O138))))</x:f>
        <x:v>12.5</x:v>
      </x:c>
      <x:c r="R138" s="57" t="n">
        <x:f>Q138/'Hypothèses &amp; sources'!$B$4</x:f>
        <x:v>3.125</x:v>
      </x:c>
      <x:c r="S138" s="56" t="n">
        <x:f>MAX(0,'Hypothèses &amp; sources'!$B$5*MAX(0,MIN(100,'Hypothèses &amp; sources'!$B$10-R138*'Hypothèses &amp; sources'!$B$9))+'Hypothèses &amp; sources'!$B$6*(G138/5*100)+'Hypothèses &amp; sources'!$B$7*(H138/5*100)+'Hypothèses &amp; sources'!$B$8*MAX(0,MIN(100,'Hypothèses &amp; sources'!$B$12-E138*'Hypothèses &amp; sources'!$B$11))-T138)</x:f>
        <x:v>80.01</x:v>
      </x:c>
      <x:c r="T138" s="33" t="n">
        <x:v>0</x:v>
      </x:c>
    </x:row>
    <x:row r="139">
      <x:c r="A139" s="33" t="n">
        <x:v>135</x:v>
      </x:c>
      <x:c r="B139" s="38" t="str">
        <x:v>Poulet braisé au cidre et à la moutarde français</x:v>
      </x:c>
      <x:c r="C139" s="38" t="str">
        <x:v>Mijoté / curry</x:v>
      </x:c>
      <x:c r="D139" s="38" t="str">
        <x:v>oignon, bouillon, épices, poulet, cidre, moutarde, légumes</x:v>
      </x:c>
      <x:c r="E139" s="33" t="n">
        <x:v>25</x:v>
      </x:c>
      <x:c r="F139" s="33" t="n">
        <x:v>75</x:v>
      </x:c>
      <x:c r="G139" s="56" t="n">
        <x:v>4.3</x:v>
      </x:c>
      <x:c r="H139" s="56" t="n">
        <x:v>3.7</x:v>
      </x:c>
      <x:c r="I139" s="33" t="n">
        <x:v>0</x:v>
      </x:c>
      <x:c r="J139" s="57" t="n">
        <x:v>12.6</x:v>
      </x:c>
      <x:c r="K139" s="57" t="n">
        <x:f>J139*'Hypothèses &amp; sources'!$E$4</x:f>
        <x:v>12.6</x:v>
      </x:c>
      <x:c r="L139" s="57" t="n">
        <x:f>J139*'Hypothèses &amp; sources'!$F$4</x:f>
        <x:v>13.356</x:v>
      </x:c>
      <x:c r="M139" s="57" t="n">
        <x:f>J139*'Hypothèses &amp; sources'!$G$4</x:f>
        <x:v>13.860000000000001</x:v>
      </x:c>
      <x:c r="N139" s="57" t="n">
        <x:f>J139*'Hypothèses &amp; sources'!$H$4</x:f>
        <x:v>13.986</x:v>
      </x:c>
      <x:c r="O139" s="57" t="n">
        <x:f>J139*'Hypothèses &amp; sources'!$I$4</x:f>
        <x:v>15.623999999999999</x:v>
      </x:c>
      <x:c r="P139" s="57" t="str">
        <x:v>Lidl</x:v>
      </x:c>
      <x:c r="Q139" s="57" t="n">
        <x:f>IF(P139="Lidl",K139,IF(P139="Super U",L139,IF(P139="Carrefour",M139,IF(P139="Auchan",N139,O139))))</x:f>
        <x:v>12.6</x:v>
      </x:c>
      <x:c r="R139" s="57" t="n">
        <x:f>Q139/'Hypothèses &amp; sources'!$B$4</x:f>
        <x:v>3.15</x:v>
      </x:c>
      <x:c r="S139" s="56" t="n">
        <x:f>MAX(0,'Hypothèses &amp; sources'!$B$5*MAX(0,MIN(100,'Hypothèses &amp; sources'!$B$10-R139*'Hypothèses &amp; sources'!$B$9))+'Hypothèses &amp; sources'!$B$6*(G139/5*100)+'Hypothèses &amp; sources'!$B$7*(H139/5*100)+'Hypothèses &amp; sources'!$B$8*MAX(0,MIN(100,'Hypothèses &amp; sources'!$B$12-E139*'Hypothèses &amp; sources'!$B$11))-T139)</x:f>
        <x:v>74.324</x:v>
      </x:c>
      <x:c r="T139" s="33" t="n">
        <x:v>0</x:v>
      </x:c>
    </x:row>
    <x:row r="140">
      <x:c r="A140" s="33" t="n">
        <x:v>136</x:v>
      </x:c>
      <x:c r="B140" s="38" t="str">
        <x:v>Limoncello</x:v>
      </x:c>
      <x:c r="C140" s="38" t="str">
        <x:v>Boisson / liqueur</x:v>
      </x:c>
      <x:c r="D140" s="38" t="str">
        <x:v>citrons, sucre, alcool neutre</x:v>
      </x:c>
      <x:c r="E140" s="33" t="n">
        <x:v>20</x:v>
      </x:c>
      <x:c r="F140" s="33" t="n">
        <x:v>10080</x:v>
      </x:c>
      <x:c r="G140" s="56" t="n">
        <x:v>0.5</x:v>
      </x:c>
      <x:c r="H140" s="56" t="n">
        <x:v>1</x:v>
      </x:c>
      <x:c r="I140" s="33" t="n">
        <x:v>1</x:v>
      </x:c>
      <x:c r="J140" s="57" t="n">
        <x:v>12</x:v>
      </x:c>
      <x:c r="K140" s="57" t="n">
        <x:f>J140*'Hypothèses &amp; sources'!$E$4</x:f>
        <x:v>12</x:v>
      </x:c>
      <x:c r="L140" s="57" t="n">
        <x:f>J140*'Hypothèses &amp; sources'!$F$4</x:f>
        <x:v>12.72</x:v>
      </x:c>
      <x:c r="M140" s="57" t="n">
        <x:f>J140*'Hypothèses &amp; sources'!$G$4</x:f>
        <x:v>13.200000000000001</x:v>
      </x:c>
      <x:c r="N140" s="57" t="n">
        <x:f>J140*'Hypothèses &amp; sources'!$H$4</x:f>
        <x:v>13.32</x:v>
      </x:c>
      <x:c r="O140" s="57" t="n">
        <x:f>J140*'Hypothèses &amp; sources'!$I$4</x:f>
        <x:v>14.879999999999999</x:v>
      </x:c>
      <x:c r="P140" s="57" t="str">
        <x:v>Super U</x:v>
      </x:c>
      <x:c r="Q140" s="57" t="n">
        <x:f>IF(P140="Lidl",K140,IF(P140="Super U",L140,IF(P140="Carrefour",M140,IF(P140="Auchan",N140,O140))))</x:f>
        <x:v>12.72</x:v>
      </x:c>
      <x:c r="R140" s="57" t="n">
        <x:f>Q140/'Hypothèses &amp; sources'!$B$4</x:f>
        <x:v>3.18</x:v>
      </x:c>
      <x:c r="S140" s="56" t="n">
        <x:f>MAX(0,'Hypothèses &amp; sources'!$B$5*MAX(0,MIN(100,'Hypothèses &amp; sources'!$B$10-R140*'Hypothèses &amp; sources'!$B$9))+'Hypothèses &amp; sources'!$B$6*(G140/5*100)+'Hypothèses &amp; sources'!$B$7*(H140/5*100)+'Hypothèses &amp; sources'!$B$8*MAX(0,MIN(100,'Hypothèses &amp; sources'!$B$12-E140*'Hypothèses &amp; sources'!$B$11))-T140)</x:f>
        <x:v>19.492800000000003</x:v>
      </x:c>
      <x:c r="T140" s="33" t="n">
        <x:v>25</x:v>
      </x:c>
    </x:row>
    <x:row r="141">
      <x:c r="A141" s="33" t="n">
        <x:v>137</x:v>
      </x:c>
      <x:c r="B141" s="38" t="str">
        <x:v>Tourte à l'aiglefin</x:v>
      </x:c>
      <x:c r="C141" s="38" t="str">
        <x:v>Gratin / farci</x:v>
      </x:c>
      <x:c r="D141" s="38" t="str">
        <x:v>aiglefin / haddock</x:v>
      </x:c>
      <x:c r="E141" s="33" t="n">
        <x:v>25</x:v>
      </x:c>
      <x:c r="F141" s="33" t="n">
        <x:v>55</x:v>
      </x:c>
      <x:c r="G141" s="56" t="n">
        <x:v>3.2</x:v>
      </x:c>
      <x:c r="H141" s="56" t="n">
        <x:v>3.6</x:v>
      </x:c>
      <x:c r="I141" s="33" t="n">
        <x:v>1</x:v>
      </x:c>
      <x:c r="J141" s="57" t="n">
        <x:v>12.1</x:v>
      </x:c>
      <x:c r="K141" s="57" t="n">
        <x:f>J141*'Hypothèses &amp; sources'!$E$4</x:f>
        <x:v>12.1</x:v>
      </x:c>
      <x:c r="L141" s="57" t="n">
        <x:f>J141*'Hypothèses &amp; sources'!$F$4</x:f>
        <x:v>12.826</x:v>
      </x:c>
      <x:c r="M141" s="57" t="n">
        <x:f>J141*'Hypothèses &amp; sources'!$G$4</x:f>
        <x:v>13.31</x:v>
      </x:c>
      <x:c r="N141" s="57" t="n">
        <x:f>J141*'Hypothèses &amp; sources'!$H$4</x:f>
        <x:v>13.431000000000001</x:v>
      </x:c>
      <x:c r="O141" s="57" t="n">
        <x:f>J141*'Hypothèses &amp; sources'!$I$4</x:f>
        <x:v>15.004</x:v>
      </x:c>
      <x:c r="P141" s="57" t="str">
        <x:v>Super U</x:v>
      </x:c>
      <x:c r="Q141" s="57" t="n">
        <x:f>IF(P141="Lidl",K141,IF(P141="Super U",L141,IF(P141="Carrefour",M141,IF(P141="Auchan",N141,O141))))</x:f>
        <x:v>12.826</x:v>
      </x:c>
      <x:c r="R141" s="57" t="n">
        <x:f>Q141/'Hypothèses &amp; sources'!$B$4</x:f>
        <x:v>3.2065</x:v>
      </x:c>
      <x:c r="S141" s="56" t="n">
        <x:f>MAX(0,'Hypothèses &amp; sources'!$B$5*MAX(0,MIN(100,'Hypothèses &amp; sources'!$B$10-R141*'Hypothèses &amp; sources'!$B$9))+'Hypothèses &amp; sources'!$B$6*(G141/5*100)+'Hypothèses &amp; sources'!$B$7*(H141/5*100)+'Hypothèses &amp; sources'!$B$8*MAX(0,MIN(100,'Hypothèses &amp; sources'!$B$12-E141*'Hypothèses &amp; sources'!$B$11))-T141)</x:f>
        <x:v>67.51924</x:v>
      </x:c>
      <x:c r="T141" s="33" t="n">
        <x:v>0</x:v>
      </x:c>
    </x:row>
    <x:row r="142">
      <x:c r="A142" s="33" t="n">
        <x:v>138</x:v>
      </x:c>
      <x:c r="B142" s="38" t="str">
        <x:v>Cheesy ground beef and rice</x:v>
      </x:c>
      <x:c r="C142" s="38" t="str">
        <x:v>Riz / bœuf</x:v>
      </x:c>
      <x:c r="D142" s="38" t="str">
        <x:v>bœuf haché, riz, tomates, fromage, oignon</x:v>
      </x:c>
      <x:c r="E142" s="33" t="n">
        <x:v>20</x:v>
      </x:c>
      <x:c r="F142" s="33" t="n">
        <x:v>40</x:v>
      </x:c>
      <x:c r="G142" s="56" t="n">
        <x:v>4.8</x:v>
      </x:c>
      <x:c r="H142" s="56" t="n">
        <x:v>3.5</x:v>
      </x:c>
      <x:c r="I142" s="33" t="n">
        <x:v>0</x:v>
      </x:c>
      <x:c r="J142" s="57" t="n">
        <x:v>13</x:v>
      </x:c>
      <x:c r="K142" s="57" t="n">
        <x:f>J142*'Hypothèses &amp; sources'!$E$4</x:f>
        <x:v>13</x:v>
      </x:c>
      <x:c r="L142" s="57" t="n">
        <x:f>J142*'Hypothèses &amp; sources'!$F$4</x:f>
        <x:v>13.780000000000001</x:v>
      </x:c>
      <x:c r="M142" s="57" t="n">
        <x:f>J142*'Hypothèses &amp; sources'!$G$4</x:f>
        <x:v>14.3</x:v>
      </x:c>
      <x:c r="N142" s="57" t="n">
        <x:f>J142*'Hypothèses &amp; sources'!$H$4</x:f>
        <x:v>14.430000000000001</x:v>
      </x:c>
      <x:c r="O142" s="57" t="n">
        <x:f>J142*'Hypothèses &amp; sources'!$I$4</x:f>
        <x:v>16.12</x:v>
      </x:c>
      <x:c r="P142" s="57" t="str">
        <x:v>Lidl</x:v>
      </x:c>
      <x:c r="Q142" s="57" t="n">
        <x:f>IF(P142="Lidl",K142,IF(P142="Super U",L142,IF(P142="Carrefour",M142,IF(P142="Auchan",N142,O142))))</x:f>
        <x:v>13</x:v>
      </x:c>
      <x:c r="R142" s="57" t="n">
        <x:f>Q142/'Hypothèses &amp; sources'!$B$4</x:f>
        <x:v>3.25</x:v>
      </x:c>
      <x:c r="S142" s="56" t="n">
        <x:f>MAX(0,'Hypothèses &amp; sources'!$B$5*MAX(0,MIN(100,'Hypothèses &amp; sources'!$B$10-R142*'Hypothèses &amp; sources'!$B$9))+'Hypothèses &amp; sources'!$B$6*(G142/5*100)+'Hypothèses &amp; sources'!$B$7*(H142/5*100)+'Hypothèses &amp; sources'!$B$8*MAX(0,MIN(100,'Hypothèses &amp; sources'!$B$12-E142*'Hypothèses &amp; sources'!$B$11))-T142)</x:f>
        <x:v>77.22</x:v>
      </x:c>
      <x:c r="T142" s="33" t="n">
        <x:v>0</x:v>
      </x:c>
    </x:row>
    <x:row r="143">
      <x:c r="A143" s="33" t="n">
        <x:v>139</x:v>
      </x:c>
      <x:c r="B143" s="38" t="str">
        <x:v>Tarte au cheeseburger facile</x:v>
      </x:c>
      <x:c r="C143" s="38" t="str">
        <x:v>Tourte / viande</x:v>
      </x:c>
      <x:c r="D143" s="38" t="str">
        <x:v>bœuf haché, pâte, fromage, oignon, cornichons</x:v>
      </x:c>
      <x:c r="E143" s="33" t="n">
        <x:v>20</x:v>
      </x:c>
      <x:c r="F143" s="33" t="n">
        <x:v>50</x:v>
      </x:c>
      <x:c r="G143" s="56" t="n">
        <x:v>4.7</x:v>
      </x:c>
      <x:c r="H143" s="56" t="n">
        <x:v>2.8</x:v>
      </x:c>
      <x:c r="I143" s="33" t="n">
        <x:v>0</x:v>
      </x:c>
      <x:c r="J143" s="57" t="n">
        <x:v>13</x:v>
      </x:c>
      <x:c r="K143" s="57" t="n">
        <x:f>J143*'Hypothèses &amp; sources'!$E$4</x:f>
        <x:v>13</x:v>
      </x:c>
      <x:c r="L143" s="57" t="n">
        <x:f>J143*'Hypothèses &amp; sources'!$F$4</x:f>
        <x:v>13.780000000000001</x:v>
      </x:c>
      <x:c r="M143" s="57" t="n">
        <x:f>J143*'Hypothèses &amp; sources'!$G$4</x:f>
        <x:v>14.3</x:v>
      </x:c>
      <x:c r="N143" s="57" t="n">
        <x:f>J143*'Hypothèses &amp; sources'!$H$4</x:f>
        <x:v>14.430000000000001</x:v>
      </x:c>
      <x:c r="O143" s="57" t="n">
        <x:f>J143*'Hypothèses &amp; sources'!$I$4</x:f>
        <x:v>16.12</x:v>
      </x:c>
      <x:c r="P143" s="57" t="str">
        <x:v>Lidl</x:v>
      </x:c>
      <x:c r="Q143" s="57" t="n">
        <x:f>IF(P143="Lidl",K143,IF(P143="Super U",L143,IF(P143="Carrefour",M143,IF(P143="Auchan",N143,O143))))</x:f>
        <x:v>13</x:v>
      </x:c>
      <x:c r="R143" s="57" t="n">
        <x:f>Q143/'Hypothèses &amp; sources'!$B$4</x:f>
        <x:v>3.25</x:v>
      </x:c>
      <x:c r="S143" s="56" t="n">
        <x:f>MAX(0,'Hypothèses &amp; sources'!$B$5*MAX(0,MIN(100,'Hypothèses &amp; sources'!$B$10-R143*'Hypothèses &amp; sources'!$B$9))+'Hypothèses &amp; sources'!$B$6*(G143/5*100)+'Hypothèses &amp; sources'!$B$7*(H143/5*100)+'Hypothèses &amp; sources'!$B$8*MAX(0,MIN(100,'Hypothèses &amp; sources'!$B$12-E143*'Hypothèses &amp; sources'!$B$11))-T143)</x:f>
        <x:v>74.14</x:v>
      </x:c>
      <x:c r="T143" s="33" t="n">
        <x:v>0</x:v>
      </x:c>
    </x:row>
    <x:row r="144">
      <x:c r="A144" s="33" t="n">
        <x:v>140</x:v>
      </x:c>
      <x:c r="B144" s="38" t="str">
        <x:v>Baby back ribs</x:v>
      </x:c>
      <x:c r="C144" s="38" t="str">
        <x:v>Plat complet</x:v>
      </x:c>
      <x:c r="D144" s="38" t="str">
        <x:v>travers de porc, sauce barbecue, ail, paprika, épices</x:v>
      </x:c>
      <x:c r="E144" s="33" t="n">
        <x:v>15</x:v>
      </x:c>
      <x:c r="F144" s="33" t="n">
        <x:v>90</x:v>
      </x:c>
      <x:c r="G144" s="56" t="n">
        <x:v>4.3</x:v>
      </x:c>
      <x:c r="H144" s="56" t="n">
        <x:v>2.8</x:v>
      </x:c>
      <x:c r="I144" s="33" t="n">
        <x:v>0</x:v>
      </x:c>
      <x:c r="J144" s="57" t="n">
        <x:v>13</x:v>
      </x:c>
      <x:c r="K144" s="57" t="n">
        <x:f>J144*'Hypothèses &amp; sources'!$E$4</x:f>
        <x:v>13</x:v>
      </x:c>
      <x:c r="L144" s="57" t="n">
        <x:f>J144*'Hypothèses &amp; sources'!$F$4</x:f>
        <x:v>13.780000000000001</x:v>
      </x:c>
      <x:c r="M144" s="57" t="n">
        <x:f>J144*'Hypothèses &amp; sources'!$G$4</x:f>
        <x:v>14.3</x:v>
      </x:c>
      <x:c r="N144" s="57" t="n">
        <x:f>J144*'Hypothèses &amp; sources'!$H$4</x:f>
        <x:v>14.430000000000001</x:v>
      </x:c>
      <x:c r="O144" s="57" t="n">
        <x:f>J144*'Hypothèses &amp; sources'!$I$4</x:f>
        <x:v>16.12</x:v>
      </x:c>
      <x:c r="P144" s="57" t="str">
        <x:v>Lidl</x:v>
      </x:c>
      <x:c r="Q144" s="57" t="n">
        <x:f>IF(P144="Lidl",K144,IF(P144="Super U",L144,IF(P144="Carrefour",M144,IF(P144="Auchan",N144,O144))))</x:f>
        <x:v>13</x:v>
      </x:c>
      <x:c r="R144" s="57" t="n">
        <x:f>Q144/'Hypothèses &amp; sources'!$B$4</x:f>
        <x:v>3.25</x:v>
      </x:c>
      <x:c r="S144" s="56" t="n">
        <x:f>MAX(0,'Hypothèses &amp; sources'!$B$5*MAX(0,MIN(100,'Hypothèses &amp; sources'!$B$10-R144*'Hypothèses &amp; sources'!$B$9))+'Hypothèses &amp; sources'!$B$6*(G144/5*100)+'Hypothèses &amp; sources'!$B$7*(H144/5*100)+'Hypothèses &amp; sources'!$B$8*MAX(0,MIN(100,'Hypothèses &amp; sources'!$B$12-E144*'Hypothèses &amp; sources'!$B$11))-T144)</x:f>
        <x:v>73.22</x:v>
      </x:c>
      <x:c r="T144" s="33" t="n">
        <x:v>0</x:v>
      </x:c>
    </x:row>
    <x:row r="145">
      <x:c r="A145" s="33" t="n">
        <x:v>141</x:v>
      </x:c>
      <x:c r="B145" s="38" t="str">
        <x:v>Shrimp chicken jambalaya</x:v>
      </x:c>
      <x:c r="C145" s="38" t="str">
        <x:v>Plat complet</x:v>
      </x:c>
      <x:c r="D145" s="38" t="str">
        <x:v>riz, crevettes</x:v>
      </x:c>
      <x:c r="E145" s="33" t="n">
        <x:v>20</x:v>
      </x:c>
      <x:c r="F145" s="33" t="n">
        <x:v>40</x:v>
      </x:c>
      <x:c r="G145" s="56" t="n">
        <x:v>3.6</x:v>
      </x:c>
      <x:c r="H145" s="56" t="n">
        <x:v>3.5</x:v>
      </x:c>
      <x:c r="I145" s="33" t="n">
        <x:v>1</x:v>
      </x:c>
      <x:c r="J145" s="57" t="n">
        <x:v>12.3</x:v>
      </x:c>
      <x:c r="K145" s="57" t="n">
        <x:f>J145*'Hypothèses &amp; sources'!$E$4</x:f>
        <x:v>12.3</x:v>
      </x:c>
      <x:c r="L145" s="57" t="n">
        <x:f>J145*'Hypothèses &amp; sources'!$F$4</x:f>
        <x:v>13.038000000000002</x:v>
      </x:c>
      <x:c r="M145" s="57" t="n">
        <x:f>J145*'Hypothèses &amp; sources'!$G$4</x:f>
        <x:v>13.530000000000001</x:v>
      </x:c>
      <x:c r="N145" s="57" t="n">
        <x:f>J145*'Hypothèses &amp; sources'!$H$4</x:f>
        <x:v>13.653000000000002</x:v>
      </x:c>
      <x:c r="O145" s="57" t="n">
        <x:f>J145*'Hypothèses &amp; sources'!$I$4</x:f>
        <x:v>15.252</x:v>
      </x:c>
      <x:c r="P145" s="57" t="str">
        <x:v>Super U</x:v>
      </x:c>
      <x:c r="Q145" s="57" t="n">
        <x:f>IF(P145="Lidl",K145,IF(P145="Super U",L145,IF(P145="Carrefour",M145,IF(P145="Auchan",N145,O145))))</x:f>
        <x:v>13.038000000000002</x:v>
      </x:c>
      <x:c r="R145" s="57" t="n">
        <x:f>Q145/'Hypothèses &amp; sources'!$B$4</x:f>
        <x:v>3.2595000000000005</x:v>
      </x:c>
      <x:c r="S145" s="56" t="n">
        <x:f>MAX(0,'Hypothèses &amp; sources'!$B$5*MAX(0,MIN(100,'Hypothèses &amp; sources'!$B$10-R145*'Hypothèses &amp; sources'!$B$9))+'Hypothèses &amp; sources'!$B$6*(G145/5*100)+'Hypothèses &amp; sources'!$B$7*(H145/5*100)+'Hypothèses &amp; sources'!$B$8*MAX(0,MIN(100,'Hypothèses &amp; sources'!$B$12-E145*'Hypothèses &amp; sources'!$B$11))-T145)</x:f>
        <x:v>70.45212</x:v>
      </x:c>
      <x:c r="T145" s="33" t="n">
        <x:v>0</x:v>
      </x:c>
    </x:row>
    <x:row r="146">
      <x:c r="A146" s="33" t="n">
        <x:v>142</x:v>
      </x:c>
      <x:c r="B146" s="38" t="str">
        <x:v>Soupe enchilada au poulet et au fromage</x:v>
      </x:c>
      <x:c r="C146" s="38" t="str">
        <x:v>Soupe / bouillon</x:v>
      </x:c>
      <x:c r="D146" s="38" t="str">
        <x:v>bouillon, oignon, poulet, crème / fromage, légumes</x:v>
      </x:c>
      <x:c r="E146" s="33" t="n">
        <x:v>15</x:v>
      </x:c>
      <x:c r="F146" s="33" t="n">
        <x:v>35</x:v>
      </x:c>
      <x:c r="G146" s="56" t="n">
        <x:v>4.2</x:v>
      </x:c>
      <x:c r="H146" s="56" t="n">
        <x:v>3.8</x:v>
      </x:c>
      <x:c r="I146" s="33" t="n">
        <x:v>0</x:v>
      </x:c>
      <x:c r="J146" s="57" t="n">
        <x:v>13.1</x:v>
      </x:c>
      <x:c r="K146" s="57" t="n">
        <x:f>J146*'Hypothèses &amp; sources'!$E$4</x:f>
        <x:v>13.1</x:v>
      </x:c>
      <x:c r="L146" s="57" t="n">
        <x:f>J146*'Hypothèses &amp; sources'!$F$4</x:f>
        <x:v>13.886000000000001</x:v>
      </x:c>
      <x:c r="M146" s="57" t="n">
        <x:f>J146*'Hypothèses &amp; sources'!$G$4</x:f>
        <x:v>14.41</x:v>
      </x:c>
      <x:c r="N146" s="57" t="n">
        <x:f>J146*'Hypothèses &amp; sources'!$H$4</x:f>
        <x:v>14.541</x:v>
      </x:c>
      <x:c r="O146" s="57" t="n">
        <x:f>J146*'Hypothèses &amp; sources'!$I$4</x:f>
        <x:v>16.244</x:v>
      </x:c>
      <x:c r="P146" s="57" t="str">
        <x:v>Lidl</x:v>
      </x:c>
      <x:c r="Q146" s="57" t="n">
        <x:f>IF(P146="Lidl",K146,IF(P146="Super U",L146,IF(P146="Carrefour",M146,IF(P146="Auchan",N146,O146))))</x:f>
        <x:v>13.1</x:v>
      </x:c>
      <x:c r="R146" s="57" t="n">
        <x:f>Q146/'Hypothèses &amp; sources'!$B$4</x:f>
        <x:v>3.275</x:v>
      </x:c>
      <x:c r="S146" s="56" t="n">
        <x:f>MAX(0,'Hypothèses &amp; sources'!$B$5*MAX(0,MIN(100,'Hypothèses &amp; sources'!$B$10-R146*'Hypothèses &amp; sources'!$B$9))+'Hypothèses &amp; sources'!$B$6*(G146/5*100)+'Hypothèses &amp; sources'!$B$7*(H146/5*100)+'Hypothèses &amp; sources'!$B$8*MAX(0,MIN(100,'Hypothèses &amp; sources'!$B$12-E146*'Hypothèses &amp; sources'!$B$11))-T146)</x:f>
        <x:v>76.134</x:v>
      </x:c>
      <x:c r="T146" s="33" t="n">
        <x:v>0</x:v>
      </x:c>
    </x:row>
    <x:row r="147">
      <x:c r="A147" s="33" t="n">
        <x:v>143</x:v>
      </x:c>
      <x:c r="B147" s="38" t="str">
        <x:v>Chicken alfredo with jar sauce</x:v>
      </x:c>
      <x:c r="C147" s="38" t="str">
        <x:v>Plat complet</x:v>
      </x:c>
      <x:c r="D147" s="38" t="str">
        <x:v>pâtes / nouilles, poulet, crème / fromage, sauce Alfredo en bocal</x:v>
      </x:c>
      <x:c r="E147" s="33" t="n">
        <x:v>20</x:v>
      </x:c>
      <x:c r="F147" s="33" t="n">
        <x:v>40</x:v>
      </x:c>
      <x:c r="G147" s="56" t="n">
        <x:v>4.5</x:v>
      </x:c>
      <x:c r="H147" s="56" t="n">
        <x:v>3.4</x:v>
      </x:c>
      <x:c r="I147" s="33" t="n">
        <x:v>0</x:v>
      </x:c>
      <x:c r="J147" s="57" t="n">
        <x:v>13.1</x:v>
      </x:c>
      <x:c r="K147" s="57" t="n">
        <x:f>J147*'Hypothèses &amp; sources'!$E$4</x:f>
        <x:v>13.1</x:v>
      </x:c>
      <x:c r="L147" s="57" t="n">
        <x:f>J147*'Hypothèses &amp; sources'!$F$4</x:f>
        <x:v>13.886000000000001</x:v>
      </x:c>
      <x:c r="M147" s="57" t="n">
        <x:f>J147*'Hypothèses &amp; sources'!$G$4</x:f>
        <x:v>14.41</x:v>
      </x:c>
      <x:c r="N147" s="57" t="n">
        <x:f>J147*'Hypothèses &amp; sources'!$H$4</x:f>
        <x:v>14.541</x:v>
      </x:c>
      <x:c r="O147" s="57" t="n">
        <x:f>J147*'Hypothèses &amp; sources'!$I$4</x:f>
        <x:v>16.244</x:v>
      </x:c>
      <x:c r="P147" s="57" t="str">
        <x:v>Lidl</x:v>
      </x:c>
      <x:c r="Q147" s="57" t="n">
        <x:f>IF(P147="Lidl",K147,IF(P147="Super U",L147,IF(P147="Carrefour",M147,IF(P147="Auchan",N147,O147))))</x:f>
        <x:v>13.1</x:v>
      </x:c>
      <x:c r="R147" s="57" t="n">
        <x:f>Q147/'Hypothèses &amp; sources'!$B$4</x:f>
        <x:v>3.275</x:v>
      </x:c>
      <x:c r="S147" s="56" t="n">
        <x:f>MAX(0,'Hypothèses &amp; sources'!$B$5*MAX(0,MIN(100,'Hypothèses &amp; sources'!$B$10-R147*'Hypothèses &amp; sources'!$B$9))+'Hypothèses &amp; sources'!$B$6*(G147/5*100)+'Hypothèses &amp; sources'!$B$7*(H147/5*100)+'Hypothèses &amp; sources'!$B$8*MAX(0,MIN(100,'Hypothèses &amp; sources'!$B$12-E147*'Hypothèses &amp; sources'!$B$11))-T147)</x:f>
        <x:v>75.054</x:v>
      </x:c>
      <x:c r="T147" s="33" t="n">
        <x:v>0</x:v>
      </x:c>
    </x:row>
    <x:row r="148">
      <x:c r="A148" s="33" t="n">
        <x:v>144</x:v>
      </x:c>
      <x:c r="B148" s="38" t="str">
        <x:v>Chili con carne</x:v>
      </x:c>
      <x:c r="C148" s="38" t="str">
        <x:v>Mijoté / chili</x:v>
      </x:c>
      <x:c r="D148" s="38" t="str">
        <x:v>bœuf haché, haricots rouges, tomates, oignon, épices chili</x:v>
      </x:c>
      <x:c r="E148" s="33" t="n">
        <x:v>20</x:v>
      </x:c>
      <x:c r="F148" s="33" t="n">
        <x:v>50</x:v>
      </x:c>
      <x:c r="G148" s="56" t="n">
        <x:v>5</x:v>
      </x:c>
      <x:c r="H148" s="56" t="n">
        <x:v>4.3</x:v>
      </x:c>
      <x:c r="I148" s="33" t="n">
        <x:v>0</x:v>
      </x:c>
      <x:c r="J148" s="57" t="n">
        <x:v>13.2</x:v>
      </x:c>
      <x:c r="K148" s="57" t="n">
        <x:f>J148*'Hypothèses &amp; sources'!$E$4</x:f>
        <x:v>13.2</x:v>
      </x:c>
      <x:c r="L148" s="57" t="n">
        <x:f>J148*'Hypothèses &amp; sources'!$F$4</x:f>
        <x:v>13.991999999999999</x:v>
      </x:c>
      <x:c r="M148" s="57" t="n">
        <x:f>J148*'Hypothèses &amp; sources'!$G$4</x:f>
        <x:v>14.52</x:v>
      </x:c>
      <x:c r="N148" s="57" t="n">
        <x:f>J148*'Hypothèses &amp; sources'!$H$4</x:f>
        <x:v>14.652000000000001</x:v>
      </x:c>
      <x:c r="O148" s="57" t="n">
        <x:f>J148*'Hypothèses &amp; sources'!$I$4</x:f>
        <x:v>16.368</x:v>
      </x:c>
      <x:c r="P148" s="57" t="str">
        <x:v>Lidl</x:v>
      </x:c>
      <x:c r="Q148" s="57" t="n">
        <x:f>IF(P148="Lidl",K148,IF(P148="Super U",L148,IF(P148="Carrefour",M148,IF(P148="Auchan",N148,O148))))</x:f>
        <x:v>13.2</x:v>
      </x:c>
      <x:c r="R148" s="57" t="n">
        <x:f>Q148/'Hypothèses &amp; sources'!$B$4</x:f>
        <x:v>3.3</x:v>
      </x:c>
      <x:c r="S148" s="56" t="n">
        <x:f>MAX(0,'Hypothèses &amp; sources'!$B$5*MAX(0,MIN(100,'Hypothèses &amp; sources'!$B$10-R148*'Hypothèses &amp; sources'!$B$9))+'Hypothèses &amp; sources'!$B$6*(G148/5*100)+'Hypothèses &amp; sources'!$B$7*(H148/5*100)+'Hypothèses &amp; sources'!$B$8*MAX(0,MIN(100,'Hypothèses &amp; sources'!$B$12-E148*'Hypothèses &amp; sources'!$B$11))-T148)</x:f>
        <x:v>80.968</x:v>
      </x:c>
      <x:c r="T148" s="33" t="n">
        <x:v>0</x:v>
      </x:c>
    </x:row>
    <x:row r="149">
      <x:c r="A149" s="33" t="n">
        <x:v>145</x:v>
      </x:c>
      <x:c r="B149" s="38" t="str">
        <x:v>Cream of mushroom chicken</x:v>
      </x:c>
      <x:c r="C149" s="38" t="str">
        <x:v>Plat complet</x:v>
      </x:c>
      <x:c r="D149" s="38" t="str">
        <x:v>champignons, poulet, crème / fromage</x:v>
      </x:c>
      <x:c r="E149" s="33" t="n">
        <x:v>20</x:v>
      </x:c>
      <x:c r="F149" s="33" t="n">
        <x:v>40</x:v>
      </x:c>
      <x:c r="G149" s="56" t="n">
        <x:v>4.2</x:v>
      </x:c>
      <x:c r="H149" s="56" t="n">
        <x:v>3.4</x:v>
      </x:c>
      <x:c r="I149" s="33" t="n">
        <x:v>0</x:v>
      </x:c>
      <x:c r="J149" s="57" t="n">
        <x:v>13.2</x:v>
      </x:c>
      <x:c r="K149" s="57" t="n">
        <x:f>J149*'Hypothèses &amp; sources'!$E$4</x:f>
        <x:v>13.2</x:v>
      </x:c>
      <x:c r="L149" s="57" t="n">
        <x:f>J149*'Hypothèses &amp; sources'!$F$4</x:f>
        <x:v>13.991999999999999</x:v>
      </x:c>
      <x:c r="M149" s="57" t="n">
        <x:f>J149*'Hypothèses &amp; sources'!$G$4</x:f>
        <x:v>14.52</x:v>
      </x:c>
      <x:c r="N149" s="57" t="n">
        <x:f>J149*'Hypothèses &amp; sources'!$H$4</x:f>
        <x:v>14.652000000000001</x:v>
      </x:c>
      <x:c r="O149" s="57" t="n">
        <x:f>J149*'Hypothèses &amp; sources'!$I$4</x:f>
        <x:v>16.368</x:v>
      </x:c>
      <x:c r="P149" s="57" t="str">
        <x:v>Lidl</x:v>
      </x:c>
      <x:c r="Q149" s="57" t="n">
        <x:f>IF(P149="Lidl",K149,IF(P149="Super U",L149,IF(P149="Carrefour",M149,IF(P149="Auchan",N149,O149))))</x:f>
        <x:v>13.2</x:v>
      </x:c>
      <x:c r="R149" s="57" t="n">
        <x:f>Q149/'Hypothèses &amp; sources'!$B$4</x:f>
        <x:v>3.3</x:v>
      </x:c>
      <x:c r="S149" s="56" t="n">
        <x:f>MAX(0,'Hypothèses &amp; sources'!$B$5*MAX(0,MIN(100,'Hypothèses &amp; sources'!$B$10-R149*'Hypothèses &amp; sources'!$B$9))+'Hypothèses &amp; sources'!$B$6*(G149/5*100)+'Hypothèses &amp; sources'!$B$7*(H149/5*100)+'Hypothèses &amp; sources'!$B$8*MAX(0,MIN(100,'Hypothèses &amp; sources'!$B$12-E149*'Hypothèses &amp; sources'!$B$11))-T149)</x:f>
        <x:v>73.248</x:v>
      </x:c>
      <x:c r="T149" s="33" t="n">
        <x:v>0</x:v>
      </x:c>
    </x:row>
    <x:row r="150">
      <x:c r="A150" s="33" t="n">
        <x:v>146</x:v>
      </x:c>
      <x:c r="B150" s="38" t="str">
        <x:v>Pozole</x:v>
      </x:c>
      <x:c r="C150" s="38" t="str">
        <x:v>Soupe / viande</x:v>
      </x:c>
      <x:c r="D150" s="38" t="str">
        <x:v>porc ou poulet, maïs hominy, piment, chou, radis, citron vert</x:v>
      </x:c>
      <x:c r="E150" s="33" t="n">
        <x:v>25</x:v>
      </x:c>
      <x:c r="F150" s="33" t="n">
        <x:v>90</x:v>
      </x:c>
      <x:c r="G150" s="56" t="n">
        <x:v>4.8</x:v>
      </x:c>
      <x:c r="H150" s="56" t="n">
        <x:v>4.2</x:v>
      </x:c>
      <x:c r="I150" s="33" t="n">
        <x:v>2</x:v>
      </x:c>
      <x:c r="J150" s="57" t="n">
        <x:v>12</x:v>
      </x:c>
      <x:c r="K150" s="57" t="n">
        <x:f>J150*'Hypothèses &amp; sources'!$E$4</x:f>
        <x:v>12</x:v>
      </x:c>
      <x:c r="L150" s="57" t="n">
        <x:f>J150*'Hypothèses &amp; sources'!$F$4</x:f>
        <x:v>12.72</x:v>
      </x:c>
      <x:c r="M150" s="57" t="n">
        <x:f>J150*'Hypothèses &amp; sources'!$G$4</x:f>
        <x:v>13.200000000000001</x:v>
      </x:c>
      <x:c r="N150" s="57" t="n">
        <x:f>J150*'Hypothèses &amp; sources'!$H$4</x:f>
        <x:v>13.32</x:v>
      </x:c>
      <x:c r="O150" s="57" t="n">
        <x:f>J150*'Hypothèses &amp; sources'!$I$4</x:f>
        <x:v>14.879999999999999</x:v>
      </x:c>
      <x:c r="P150" s="57" t="str">
        <x:v>Carrefour</x:v>
      </x:c>
      <x:c r="Q150" s="57" t="n">
        <x:f>IF(P150="Lidl",K150,IF(P150="Super U",L150,IF(P150="Carrefour",M150,IF(P150="Auchan",N150,O150))))</x:f>
        <x:v>13.200000000000001</x:v>
      </x:c>
      <x:c r="R150" s="57" t="n">
        <x:f>Q150/'Hypothèses &amp; sources'!$B$4</x:f>
        <x:v>3.3000000000000003</x:v>
      </x:c>
      <x:c r="S150" s="56" t="n">
        <x:f>MAX(0,'Hypothèses &amp; sources'!$B$5*MAX(0,MIN(100,'Hypothèses &amp; sources'!$B$10-R150*'Hypothèses &amp; sources'!$B$9))+'Hypothèses &amp; sources'!$B$6*(G150/5*100)+'Hypothèses &amp; sources'!$B$7*(H150/5*100)+'Hypothèses &amp; sources'!$B$8*MAX(0,MIN(100,'Hypothèses &amp; sources'!$B$12-E150*'Hypothèses &amp; sources'!$B$11))-T150)</x:f>
        <x:v>78.168</x:v>
      </x:c>
      <x:c r="T150" s="33" t="n">
        <x:v>0</x:v>
      </x:c>
    </x:row>
    <x:row r="151">
      <x:c r="A151" s="33" t="n">
        <x:v>147</x:v>
      </x:c>
      <x:c r="B151" s="38" t="str">
        <x:v>Meatball sliders</x:v>
      </x:c>
      <x:c r="C151" s="38" t="str">
        <x:v>Sandwich / viande</x:v>
      </x:c>
      <x:c r="D151" s="38" t="str">
        <x:v>mini-pains, boulettes de bœuf, sauce tomate, mozzarella</x:v>
      </x:c>
      <x:c r="E151" s="33" t="n">
        <x:v>20</x:v>
      </x:c>
      <x:c r="F151" s="33" t="n">
        <x:v>35</x:v>
      </x:c>
      <x:c r="G151" s="56" t="n">
        <x:v>4.4</x:v>
      </x:c>
      <x:c r="H151" s="56" t="n">
        <x:v>3</x:v>
      </x:c>
      <x:c r="I151" s="33" t="n">
        <x:v>1</x:v>
      </x:c>
      <x:c r="J151" s="57" t="n">
        <x:v>12.5</x:v>
      </x:c>
      <x:c r="K151" s="57" t="n">
        <x:f>J151*'Hypothèses &amp; sources'!$E$4</x:f>
        <x:v>12.5</x:v>
      </x:c>
      <x:c r="L151" s="57" t="n">
        <x:f>J151*'Hypothèses &amp; sources'!$F$4</x:f>
        <x:v>13.25</x:v>
      </x:c>
      <x:c r="M151" s="57" t="n">
        <x:f>J151*'Hypothèses &amp; sources'!$G$4</x:f>
        <x:v>13.750000000000002</x:v>
      </x:c>
      <x:c r="N151" s="57" t="n">
        <x:f>J151*'Hypothèses &amp; sources'!$H$4</x:f>
        <x:v>13.875000000000002</x:v>
      </x:c>
      <x:c r="O151" s="57" t="n">
        <x:f>J151*'Hypothèses &amp; sources'!$I$4</x:f>
        <x:v>15.5</x:v>
      </x:c>
      <x:c r="P151" s="57" t="str">
        <x:v>Super U</x:v>
      </x:c>
      <x:c r="Q151" s="57" t="n">
        <x:f>IF(P151="Lidl",K151,IF(P151="Super U",L151,IF(P151="Carrefour",M151,IF(P151="Auchan",N151,O151))))</x:f>
        <x:v>13.25</x:v>
      </x:c>
      <x:c r="R151" s="57" t="n">
        <x:f>Q151/'Hypothèses &amp; sources'!$B$4</x:f>
        <x:v>3.3125</x:v>
      </x:c>
      <x:c r="S151" s="56" t="n">
        <x:f>MAX(0,'Hypothèses &amp; sources'!$B$5*MAX(0,MIN(100,'Hypothèses &amp; sources'!$B$10-R151*'Hypothèses &amp; sources'!$B$9))+'Hypothèses &amp; sources'!$B$6*(G151/5*100)+'Hypothèses &amp; sources'!$B$7*(H151/5*100)+'Hypothèses &amp; sources'!$B$8*MAX(0,MIN(100,'Hypothèses &amp; sources'!$B$12-E151*'Hypothèses &amp; sources'!$B$11))-T151)</x:f>
        <x:v>72.86500000000001</x:v>
      </x:c>
      <x:c r="T151" s="33" t="n">
        <x:v>0</x:v>
      </x:c>
    </x:row>
    <x:row r="152">
      <x:c r="A152" s="33" t="n">
        <x:v>148</x:v>
      </x:c>
      <x:c r="B152" s="38" t="str">
        <x:v>Taco ground beef chili</x:v>
      </x:c>
      <x:c r="C152" s="38" t="str">
        <x:v>Tacos / sandwich</x:v>
      </x:c>
      <x:c r="D152" s="38" t="str">
        <x:v>piment / chili, tortillas ou pain, crudités, sauce, bœuf haché</x:v>
      </x:c>
      <x:c r="E152" s="33" t="n">
        <x:v>20</x:v>
      </x:c>
      <x:c r="F152" s="33" t="n">
        <x:v>30</x:v>
      </x:c>
      <x:c r="G152" s="56" t="n">
        <x:v>4</x:v>
      </x:c>
      <x:c r="H152" s="56" t="n">
        <x:v>3.1</x:v>
      </x:c>
      <x:c r="I152" s="33" t="n">
        <x:v>0</x:v>
      </x:c>
      <x:c r="J152" s="57" t="n">
        <x:v>13.4</x:v>
      </x:c>
      <x:c r="K152" s="57" t="n">
        <x:f>J152*'Hypothèses &amp; sources'!$E$4</x:f>
        <x:v>13.4</x:v>
      </x:c>
      <x:c r="L152" s="57" t="n">
        <x:f>J152*'Hypothèses &amp; sources'!$F$4</x:f>
        <x:v>14.204</x:v>
      </x:c>
      <x:c r="M152" s="57" t="n">
        <x:f>J152*'Hypothèses &amp; sources'!$G$4</x:f>
        <x:v>14.740000000000002</x:v>
      </x:c>
      <x:c r="N152" s="57" t="n">
        <x:f>J152*'Hypothèses &amp; sources'!$H$4</x:f>
        <x:v>14.874000000000002</x:v>
      </x:c>
      <x:c r="O152" s="57" t="n">
        <x:f>J152*'Hypothèses &amp; sources'!$I$4</x:f>
        <x:v>16.616</x:v>
      </x:c>
      <x:c r="P152" s="57" t="str">
        <x:v>Lidl</x:v>
      </x:c>
      <x:c r="Q152" s="57" t="n">
        <x:f>IF(P152="Lidl",K152,IF(P152="Super U",L152,IF(P152="Carrefour",M152,IF(P152="Auchan",N152,O152))))</x:f>
        <x:v>13.4</x:v>
      </x:c>
      <x:c r="R152" s="57" t="n">
        <x:f>Q152/'Hypothèses &amp; sources'!$B$4</x:f>
        <x:v>3.35</x:v>
      </x:c>
      <x:c r="S152" s="56" t="n">
        <x:f>MAX(0,'Hypothèses &amp; sources'!$B$5*MAX(0,MIN(100,'Hypothèses &amp; sources'!$B$10-R152*'Hypothèses &amp; sources'!$B$9))+'Hypothèses &amp; sources'!$B$6*(G152/5*100)+'Hypothèses &amp; sources'!$B$7*(H152/5*100)+'Hypothèses &amp; sources'!$B$8*MAX(0,MIN(100,'Hypothèses &amp; sources'!$B$12-E152*'Hypothèses &amp; sources'!$B$11))-T152)</x:f>
        <x:v>70.796</x:v>
      </x:c>
      <x:c r="T152" s="33" t="n">
        <x:v>0</x:v>
      </x:c>
    </x:row>
    <x:row r="153">
      <x:c r="A153" s="33" t="n">
        <x:v>149</x:v>
      </x:c>
      <x:c r="B153" s="38" t="str">
        <x:v>One-pot chicken pad Thai</x:v>
      </x:c>
      <x:c r="C153" s="38" t="str">
        <x:v>Nouilles / poulet</x:v>
      </x:c>
      <x:c r="D153" s="38" t="str">
        <x:v>nouilles de riz, poulet, œufs, pousses de soja, cacahuètes, citron vert, sauce de poisson</x:v>
      </x:c>
      <x:c r="E153" s="33" t="n">
        <x:v>25</x:v>
      </x:c>
      <x:c r="F153" s="33" t="n">
        <x:v>40</x:v>
      </x:c>
      <x:c r="G153" s="56" t="n">
        <x:v>4.6</x:v>
      </x:c>
      <x:c r="H153" s="56" t="n">
        <x:v>4</x:v>
      </x:c>
      <x:c r="I153" s="33" t="n">
        <x:v>2</x:v>
      </x:c>
      <x:c r="J153" s="57" t="n">
        <x:v>12.2</x:v>
      </x:c>
      <x:c r="K153" s="57" t="n">
        <x:f>J153*'Hypothèses &amp; sources'!$E$4</x:f>
        <x:v>12.2</x:v>
      </x:c>
      <x:c r="L153" s="57" t="n">
        <x:f>J153*'Hypothèses &amp; sources'!$F$4</x:f>
        <x:v>12.932</x:v>
      </x:c>
      <x:c r="M153" s="57" t="n">
        <x:f>J153*'Hypothèses &amp; sources'!$G$4</x:f>
        <x:v>13.42</x:v>
      </x:c>
      <x:c r="N153" s="57" t="n">
        <x:f>J153*'Hypothèses &amp; sources'!$H$4</x:f>
        <x:v>13.542</x:v>
      </x:c>
      <x:c r="O153" s="57" t="n">
        <x:f>J153*'Hypothèses &amp; sources'!$I$4</x:f>
        <x:v>15.127999999999998</x:v>
      </x:c>
      <x:c r="P153" s="57" t="str">
        <x:v>Carrefour</x:v>
      </x:c>
      <x:c r="Q153" s="57" t="n">
        <x:f>IF(P153="Lidl",K153,IF(P153="Super U",L153,IF(P153="Carrefour",M153,IF(P153="Auchan",N153,O153))))</x:f>
        <x:v>13.42</x:v>
      </x:c>
      <x:c r="R153" s="57" t="n">
        <x:f>Q153/'Hypothèses &amp; sources'!$B$4</x:f>
        <x:v>3.355</x:v>
      </x:c>
      <x:c r="S153" s="56" t="n">
        <x:f>MAX(0,'Hypothèses &amp; sources'!$B$5*MAX(0,MIN(100,'Hypothèses &amp; sources'!$B$10-R153*'Hypothèses &amp; sources'!$B$9))+'Hypothèses &amp; sources'!$B$6*(G153/5*100)+'Hypothèses &amp; sources'!$B$7*(H153/5*100)+'Hypothèses &amp; sources'!$B$8*MAX(0,MIN(100,'Hypothèses &amp; sources'!$B$12-E153*'Hypothèses &amp; sources'!$B$11))-T153)</x:f>
        <x:v>76.05080000000001</x:v>
      </x:c>
      <x:c r="T153" s="33" t="n">
        <x:v>0</x:v>
      </x:c>
    </x:row>
    <x:row r="154">
      <x:c r="A154" s="33" t="n">
        <x:v>150</x:v>
      </x:c>
      <x:c r="B154" s="38" t="str">
        <x:v>Boeuf et nouilles</x:v>
      </x:c>
      <x:c r="C154" s="38" t="str">
        <x:v>Plat complet</x:v>
      </x:c>
      <x:c r="D154" s="38" t="str">
        <x:v>pâtes / nouilles, bœuf à mijoter</x:v>
      </x:c>
      <x:c r="E154" s="33" t="n">
        <x:v>20</x:v>
      </x:c>
      <x:c r="F154" s="33" t="n">
        <x:v>40</x:v>
      </x:c>
      <x:c r="G154" s="56" t="n">
        <x:v>4.3</x:v>
      </x:c>
      <x:c r="H154" s="56" t="n">
        <x:v>3.1</x:v>
      </x:c>
      <x:c r="I154" s="33" t="n">
        <x:v>0</x:v>
      </x:c>
      <x:c r="J154" s="57" t="n">
        <x:v>13.5</x:v>
      </x:c>
      <x:c r="K154" s="57" t="n">
        <x:f>J154*'Hypothèses &amp; sources'!$E$4</x:f>
        <x:v>13.5</x:v>
      </x:c>
      <x:c r="L154" s="57" t="n">
        <x:f>J154*'Hypothèses &amp; sources'!$F$4</x:f>
        <x:v>14.31</x:v>
      </x:c>
      <x:c r="M154" s="57" t="n">
        <x:f>J154*'Hypothèses &amp; sources'!$G$4</x:f>
        <x:v>14.850000000000001</x:v>
      </x:c>
      <x:c r="N154" s="57" t="n">
        <x:f>J154*'Hypothèses &amp; sources'!$H$4</x:f>
        <x:v>14.985000000000001</x:v>
      </x:c>
      <x:c r="O154" s="57" t="n">
        <x:f>J154*'Hypothèses &amp; sources'!$I$4</x:f>
        <x:v>16.74</x:v>
      </x:c>
      <x:c r="P154" s="57" t="str">
        <x:v>Lidl</x:v>
      </x:c>
      <x:c r="Q154" s="57" t="n">
        <x:f>IF(P154="Lidl",K154,IF(P154="Super U",L154,IF(P154="Carrefour",M154,IF(P154="Auchan",N154,O154))))</x:f>
        <x:v>13.5</x:v>
      </x:c>
      <x:c r="R154" s="57" t="n">
        <x:f>Q154/'Hypothèses &amp; sources'!$B$4</x:f>
        <x:v>3.375</x:v>
      </x:c>
      <x:c r="S154" s="56" t="n">
        <x:f>MAX(0,'Hypothèses &amp; sources'!$B$5*MAX(0,MIN(100,'Hypothèses &amp; sources'!$B$10-R154*'Hypothèses &amp; sources'!$B$9))+'Hypothèses &amp; sources'!$B$6*(G154/5*100)+'Hypothèses &amp; sources'!$B$7*(H154/5*100)+'Hypothèses &amp; sources'!$B$8*MAX(0,MIN(100,'Hypothèses &amp; sources'!$B$12-E154*'Hypothèses &amp; sources'!$B$11))-T154)</x:f>
        <x:v>72.35</x:v>
      </x:c>
      <x:c r="T154" s="33" t="n">
        <x:v>0</x:v>
      </x:c>
    </x:row>
    <x:row r="155">
      <x:c r="A155" s="33" t="n">
        <x:v>151</x:v>
      </x:c>
      <x:c r="B155" s="38" t="str">
        <x:v>Steamed ribs with glutinous rice</x:v>
      </x:c>
      <x:c r="C155" s="38" t="str">
        <x:v>Porc / riz</x:v>
      </x:c>
      <x:c r="D155" s="38" t="str">
        <x:v>travers de porc, riz gluant, sauce soja, gingembre, ciboule</x:v>
      </x:c>
      <x:c r="E155" s="33" t="n">
        <x:v>20</x:v>
      </x:c>
      <x:c r="F155" s="33" t="n">
        <x:v>60</x:v>
      </x:c>
      <x:c r="G155" s="56" t="n">
        <x:v>4.8</x:v>
      </x:c>
      <x:c r="H155" s="56" t="n">
        <x:v>3.3</x:v>
      </x:c>
      <x:c r="I155" s="33" t="n">
        <x:v>2</x:v>
      </x:c>
      <x:c r="J155" s="57" t="n">
        <x:v>12.5</x:v>
      </x:c>
      <x:c r="K155" s="57" t="n">
        <x:f>J155*'Hypothèses &amp; sources'!$E$4</x:f>
        <x:v>12.5</x:v>
      </x:c>
      <x:c r="L155" s="57" t="n">
        <x:f>J155*'Hypothèses &amp; sources'!$F$4</x:f>
        <x:v>13.25</x:v>
      </x:c>
      <x:c r="M155" s="57" t="n">
        <x:f>J155*'Hypothèses &amp; sources'!$G$4</x:f>
        <x:v>13.750000000000002</x:v>
      </x:c>
      <x:c r="N155" s="57" t="n">
        <x:f>J155*'Hypothèses &amp; sources'!$H$4</x:f>
        <x:v>13.875000000000002</x:v>
      </x:c>
      <x:c r="O155" s="57" t="n">
        <x:f>J155*'Hypothèses &amp; sources'!$I$4</x:f>
        <x:v>15.5</x:v>
      </x:c>
      <x:c r="P155" s="57" t="str">
        <x:v>Carrefour</x:v>
      </x:c>
      <x:c r="Q155" s="57" t="n">
        <x:f>IF(P155="Lidl",K155,IF(P155="Super U",L155,IF(P155="Carrefour",M155,IF(P155="Auchan",N155,O155))))</x:f>
        <x:v>13.750000000000002</x:v>
      </x:c>
      <x:c r="R155" s="57" t="n">
        <x:f>Q155/'Hypothèses &amp; sources'!$B$4</x:f>
        <x:v>3.4375000000000004</x:v>
      </x:c>
      <x:c r="S155" s="56" t="n">
        <x:f>MAX(0,'Hypothèses &amp; sources'!$B$5*MAX(0,MIN(100,'Hypothèses &amp; sources'!$B$10-R155*'Hypothèses &amp; sources'!$B$9))+'Hypothèses &amp; sources'!$B$6*(G155/5*100)+'Hypothèses &amp; sources'!$B$7*(H155/5*100)+'Hypothèses &amp; sources'!$B$8*MAX(0,MIN(100,'Hypothèses &amp; sources'!$B$12-E155*'Hypothèses &amp; sources'!$B$11))-T155)</x:f>
        <x:v>75.555</x:v>
      </x:c>
      <x:c r="T155" s="33" t="n">
        <x:v>0</x:v>
      </x:c>
    </x:row>
    <x:row r="156">
      <x:c r="A156" s="33" t="n">
        <x:v>152</x:v>
      </x:c>
      <x:c r="B156" s="38" t="str">
        <x:v>Ragout de poisson</x:v>
      </x:c>
      <x:c r="C156" s="38" t="str">
        <x:v>Mijoté / curry</x:v>
      </x:c>
      <x:c r="D156" s="38" t="str">
        <x:v>oignon, bouillon, épices, poisson blanc, légumes</x:v>
      </x:c>
      <x:c r="E156" s="33" t="n">
        <x:v>25</x:v>
      </x:c>
      <x:c r="F156" s="33" t="n">
        <x:v>75</x:v>
      </x:c>
      <x:c r="G156" s="56" t="n">
        <x:v>3.6</x:v>
      </x:c>
      <x:c r="H156" s="56" t="n">
        <x:v>3.8</x:v>
      </x:c>
      <x:c r="I156" s="33" t="n">
        <x:v>1</x:v>
      </x:c>
      <x:c r="J156" s="57" t="n">
        <x:v>13</x:v>
      </x:c>
      <x:c r="K156" s="57" t="n">
        <x:f>J156*'Hypothèses &amp; sources'!$E$4</x:f>
        <x:v>13</x:v>
      </x:c>
      <x:c r="L156" s="57" t="n">
        <x:f>J156*'Hypothèses &amp; sources'!$F$4</x:f>
        <x:v>13.780000000000001</x:v>
      </x:c>
      <x:c r="M156" s="57" t="n">
        <x:f>J156*'Hypothèses &amp; sources'!$G$4</x:f>
        <x:v>14.3</x:v>
      </x:c>
      <x:c r="N156" s="57" t="n">
        <x:f>J156*'Hypothèses &amp; sources'!$H$4</x:f>
        <x:v>14.430000000000001</x:v>
      </x:c>
      <x:c r="O156" s="57" t="n">
        <x:f>J156*'Hypothèses &amp; sources'!$I$4</x:f>
        <x:v>16.12</x:v>
      </x:c>
      <x:c r="P156" s="57" t="str">
        <x:v>Super U</x:v>
      </x:c>
      <x:c r="Q156" s="57" t="n">
        <x:f>IF(P156="Lidl",K156,IF(P156="Super U",L156,IF(P156="Carrefour",M156,IF(P156="Auchan",N156,O156))))</x:f>
        <x:v>13.780000000000001</x:v>
      </x:c>
      <x:c r="R156" s="57" t="n">
        <x:f>Q156/'Hypothèses &amp; sources'!$B$4</x:f>
        <x:v>3.4450000000000003</x:v>
      </x:c>
      <x:c r="S156" s="56" t="n">
        <x:f>MAX(0,'Hypothèses &amp; sources'!$B$5*MAX(0,MIN(100,'Hypothèses &amp; sources'!$B$10-R156*'Hypothèses &amp; sources'!$B$9))+'Hypothèses &amp; sources'!$B$6*(G156/5*100)+'Hypothèses &amp; sources'!$B$7*(H156/5*100)+'Hypothèses &amp; sources'!$B$8*MAX(0,MIN(100,'Hypothèses &amp; sources'!$B$12-E156*'Hypothèses &amp; sources'!$B$11))-T156)</x:f>
        <x:v>69.2772</x:v>
      </x:c>
      <x:c r="T156" s="33" t="n">
        <x:v>0</x:v>
      </x:c>
    </x:row>
    <x:row r="157">
      <x:c r="A157" s="33" t="n">
        <x:v>153</x:v>
      </x:c>
      <x:c r="B157" s="38" t="str">
        <x:v>Mexican menudo</x:v>
      </x:c>
      <x:c r="C157" s="38" t="str">
        <x:v>Soupe / viande</x:v>
      </x:c>
      <x:c r="D157" s="38" t="str">
        <x:v>tripes de bœuf, maïs hominy, piment, oignon, citron vert</x:v>
      </x:c>
      <x:c r="E157" s="33" t="n">
        <x:v>30</x:v>
      </x:c>
      <x:c r="F157" s="33" t="n">
        <x:v>150</x:v>
      </x:c>
      <x:c r="G157" s="56" t="n">
        <x:v>4.5</x:v>
      </x:c>
      <x:c r="H157" s="56" t="n">
        <x:v>3.5</x:v>
      </x:c>
      <x:c r="I157" s="33" t="n">
        <x:v>2</x:v>
      </x:c>
      <x:c r="J157" s="57" t="n">
        <x:v>13</x:v>
      </x:c>
      <x:c r="K157" s="57" t="n">
        <x:f>J157*'Hypothèses &amp; sources'!$E$4</x:f>
        <x:v>13</x:v>
      </x:c>
      <x:c r="L157" s="57" t="n">
        <x:f>J157*'Hypothèses &amp; sources'!$F$4</x:f>
        <x:v>13.780000000000001</x:v>
      </x:c>
      <x:c r="M157" s="57" t="n">
        <x:f>J157*'Hypothèses &amp; sources'!$G$4</x:f>
        <x:v>14.3</x:v>
      </x:c>
      <x:c r="N157" s="57" t="n">
        <x:f>J157*'Hypothèses &amp; sources'!$H$4</x:f>
        <x:v>14.430000000000001</x:v>
      </x:c>
      <x:c r="O157" s="57" t="n">
        <x:f>J157*'Hypothèses &amp; sources'!$I$4</x:f>
        <x:v>16.12</x:v>
      </x:c>
      <x:c r="P157" s="57" t="str">
        <x:v>Carrefour</x:v>
      </x:c>
      <x:c r="Q157" s="57" t="n">
        <x:f>IF(P157="Lidl",K157,IF(P157="Super U",L157,IF(P157="Carrefour",M157,IF(P157="Auchan",N157,O157))))</x:f>
        <x:v>14.3</x:v>
      </x:c>
      <x:c r="R157" s="57" t="n">
        <x:f>Q157/'Hypothèses &amp; sources'!$B$4</x:f>
        <x:v>3.575</x:v>
      </x:c>
      <x:c r="S157" s="56" t="n">
        <x:f>MAX(0,'Hypothèses &amp; sources'!$B$5*MAX(0,MIN(100,'Hypothèses &amp; sources'!$B$10-R157*'Hypothèses &amp; sources'!$B$9))+'Hypothèses &amp; sources'!$B$6*(G157/5*100)+'Hypothèses &amp; sources'!$B$7*(H157/5*100)+'Hypothèses &amp; sources'!$B$8*MAX(0,MIN(100,'Hypothèses &amp; sources'!$B$12-E157*'Hypothèses &amp; sources'!$B$11))-T157)</x:f>
        <x:v>71.262</x:v>
      </x:c>
      <x:c r="T157" s="33" t="n">
        <x:v>0</x:v>
      </x:c>
    </x:row>
    <x:row r="158">
      <x:c r="A158" s="33" t="n">
        <x:v>154</x:v>
      </x:c>
      <x:c r="B158" s="38" t="str">
        <x:v>10-minute steak tacos/carne asada</x:v>
      </x:c>
      <x:c r="C158" s="38" t="str">
        <x:v>Tacos / sandwich</x:v>
      </x:c>
      <x:c r="D158" s="38" t="str">
        <x:v>tortillas ou pain, crudités, sauce, bœuf à mijoter</x:v>
      </x:c>
      <x:c r="E158" s="33" t="n">
        <x:v>10</x:v>
      </x:c>
      <x:c r="F158" s="33" t="n">
        <x:v>15</x:v>
      </x:c>
      <x:c r="G158" s="56" t="n">
        <x:v>4</x:v>
      </x:c>
      <x:c r="H158" s="56" t="n">
        <x:v>3.1</x:v>
      </x:c>
      <x:c r="I158" s="33" t="n">
        <x:v>0</x:v>
      </x:c>
      <x:c r="J158" s="57" t="n">
        <x:v>14.8</x:v>
      </x:c>
      <x:c r="K158" s="57" t="n">
        <x:f>J158*'Hypothèses &amp; sources'!$E$4</x:f>
        <x:v>14.8</x:v>
      </x:c>
      <x:c r="L158" s="57" t="n">
        <x:f>J158*'Hypothèses &amp; sources'!$F$4</x:f>
        <x:v>15.688000000000002</x:v>
      </x:c>
      <x:c r="M158" s="57" t="n">
        <x:f>J158*'Hypothèses &amp; sources'!$G$4</x:f>
        <x:v>16.28</x:v>
      </x:c>
      <x:c r="N158" s="57" t="n">
        <x:f>J158*'Hypothèses &amp; sources'!$H$4</x:f>
        <x:v>16.428</x:v>
      </x:c>
      <x:c r="O158" s="57" t="n">
        <x:f>J158*'Hypothèses &amp; sources'!$I$4</x:f>
        <x:v>18.352</x:v>
      </x:c>
      <x:c r="P158" s="57" t="str">
        <x:v>Lidl</x:v>
      </x:c>
      <x:c r="Q158" s="57" t="n">
        <x:f>IF(P158="Lidl",K158,IF(P158="Super U",L158,IF(P158="Carrefour",M158,IF(P158="Auchan",N158,O158))))</x:f>
        <x:v>14.8</x:v>
      </x:c>
      <x:c r="R158" s="57" t="n">
        <x:f>Q158/'Hypothèses &amp; sources'!$B$4</x:f>
        <x:v>3.7</x:v>
      </x:c>
      <x:c r="S158" s="56" t="n">
        <x:f>MAX(0,'Hypothèses &amp; sources'!$B$5*MAX(0,MIN(100,'Hypothèses &amp; sources'!$B$10-R158*'Hypothèses &amp; sources'!$B$9))+'Hypothèses &amp; sources'!$B$6*(G158/5*100)+'Hypothèses &amp; sources'!$B$7*(H158/5*100)+'Hypothèses &amp; sources'!$B$8*MAX(0,MIN(100,'Hypothèses &amp; sources'!$B$12-E158*'Hypothèses &amp; sources'!$B$11))-T158)</x:f>
        <x:v>71.672</x:v>
      </x:c>
      <x:c r="T158" s="33" t="n">
        <x:v>0</x:v>
      </x:c>
    </x:row>
    <x:row r="159">
      <x:c r="A159" s="33" t="n">
        <x:v>155</x:v>
      </x:c>
      <x:c r="B159" s="38" t="str">
        <x:v>Tacos au boeuf effiloché</x:v>
      </x:c>
      <x:c r="C159" s="38" t="str">
        <x:v>Tacos / sandwich</x:v>
      </x:c>
      <x:c r="D159" s="38" t="str">
        <x:v>tortillas ou pain, crudités, sauce, bœuf à mijoter</x:v>
      </x:c>
      <x:c r="E159" s="33" t="n">
        <x:v>20</x:v>
      </x:c>
      <x:c r="F159" s="33" t="n">
        <x:v>30</x:v>
      </x:c>
      <x:c r="G159" s="56" t="n">
        <x:v>4</x:v>
      </x:c>
      <x:c r="H159" s="56" t="n">
        <x:v>3.1</x:v>
      </x:c>
      <x:c r="I159" s="33" t="n">
        <x:v>0</x:v>
      </x:c>
      <x:c r="J159" s="57" t="n">
        <x:v>14.8</x:v>
      </x:c>
      <x:c r="K159" s="57" t="n">
        <x:f>J159*'Hypothèses &amp; sources'!$E$4</x:f>
        <x:v>14.8</x:v>
      </x:c>
      <x:c r="L159" s="57" t="n">
        <x:f>J159*'Hypothèses &amp; sources'!$F$4</x:f>
        <x:v>15.688000000000002</x:v>
      </x:c>
      <x:c r="M159" s="57" t="n">
        <x:f>J159*'Hypothèses &amp; sources'!$G$4</x:f>
        <x:v>16.28</x:v>
      </x:c>
      <x:c r="N159" s="57" t="n">
        <x:f>J159*'Hypothèses &amp; sources'!$H$4</x:f>
        <x:v>16.428</x:v>
      </x:c>
      <x:c r="O159" s="57" t="n">
        <x:f>J159*'Hypothèses &amp; sources'!$I$4</x:f>
        <x:v>18.352</x:v>
      </x:c>
      <x:c r="P159" s="57" t="str">
        <x:v>Lidl</x:v>
      </x:c>
      <x:c r="Q159" s="57" t="n">
        <x:f>IF(P159="Lidl",K159,IF(P159="Super U",L159,IF(P159="Carrefour",M159,IF(P159="Auchan",N159,O159))))</x:f>
        <x:v>14.8</x:v>
      </x:c>
      <x:c r="R159" s="57" t="n">
        <x:f>Q159/'Hypothèses &amp; sources'!$B$4</x:f>
        <x:v>3.7</x:v>
      </x:c>
      <x:c r="S159" s="56" t="n">
        <x:f>MAX(0,'Hypothèses &amp; sources'!$B$5*MAX(0,MIN(100,'Hypothèses &amp; sources'!$B$10-R159*'Hypothèses &amp; sources'!$B$9))+'Hypothèses &amp; sources'!$B$6*(G159/5*100)+'Hypothèses &amp; sources'!$B$7*(H159/5*100)+'Hypothèses &amp; sources'!$B$8*MAX(0,MIN(100,'Hypothèses &amp; sources'!$B$12-E159*'Hypothèses &amp; sources'!$B$11))-T159)</x:f>
        <x:v>69.032</x:v>
      </x:c>
      <x:c r="T159" s="33" t="n">
        <x:v>0</x:v>
      </x:c>
    </x:row>
    <x:row r="160">
      <x:c r="A160" s="33" t="n">
        <x:v>156</x:v>
      </x:c>
      <x:c r="B160" s="38" t="str">
        <x:v>One-pot bibimbap</x:v>
      </x:c>
      <x:c r="C160" s="38" t="str">
        <x:v>Riz / bœuf</x:v>
      </x:c>
      <x:c r="D160" s="38" t="str">
        <x:v>riz, bœuf haché, légumes, œuf, gochujang, sauce soja, sésame</x:v>
      </x:c>
      <x:c r="E160" s="33" t="n">
        <x:v>25</x:v>
      </x:c>
      <x:c r="F160" s="33" t="n">
        <x:v>40</x:v>
      </x:c>
      <x:c r="G160" s="56" t="n">
        <x:v>4.8</x:v>
      </x:c>
      <x:c r="H160" s="56" t="n">
        <x:v>4.4</x:v>
      </x:c>
      <x:c r="I160" s="33" t="n">
        <x:v>2</x:v>
      </x:c>
      <x:c r="J160" s="57" t="n">
        <x:v>13.5</x:v>
      </x:c>
      <x:c r="K160" s="57" t="n">
        <x:f>J160*'Hypothèses &amp; sources'!$E$4</x:f>
        <x:v>13.5</x:v>
      </x:c>
      <x:c r="L160" s="57" t="n">
        <x:f>J160*'Hypothèses &amp; sources'!$F$4</x:f>
        <x:v>14.31</x:v>
      </x:c>
      <x:c r="M160" s="57" t="n">
        <x:f>J160*'Hypothèses &amp; sources'!$G$4</x:f>
        <x:v>14.850000000000001</x:v>
      </x:c>
      <x:c r="N160" s="57" t="n">
        <x:f>J160*'Hypothèses &amp; sources'!$H$4</x:f>
        <x:v>14.985000000000001</x:v>
      </x:c>
      <x:c r="O160" s="57" t="n">
        <x:f>J160*'Hypothèses &amp; sources'!$I$4</x:f>
        <x:v>16.74</x:v>
      </x:c>
      <x:c r="P160" s="57" t="str">
        <x:v>Carrefour</x:v>
      </x:c>
      <x:c r="Q160" s="57" t="n">
        <x:f>IF(P160="Lidl",K160,IF(P160="Super U",L160,IF(P160="Carrefour",M160,IF(P160="Auchan",N160,O160))))</x:f>
        <x:v>14.850000000000001</x:v>
      </x:c>
      <x:c r="R160" s="57" t="n">
        <x:f>Q160/'Hypothèses &amp; sources'!$B$4</x:f>
        <x:v>3.7125000000000004</x:v>
      </x:c>
      <x:c r="S160" s="56" t="n">
        <x:f>MAX(0,'Hypothèses &amp; sources'!$B$5*MAX(0,MIN(100,'Hypothèses &amp; sources'!$B$10-R160*'Hypothèses &amp; sources'!$B$9))+'Hypothèses &amp; sources'!$B$6*(G160/5*100)+'Hypothèses &amp; sources'!$B$7*(H160/5*100)+'Hypothèses &amp; sources'!$B$8*MAX(0,MIN(100,'Hypothèses &amp; sources'!$B$12-E160*'Hypothèses &amp; sources'!$B$11))-T160)</x:f>
        <x:v>76.809</x:v>
      </x:c>
      <x:c r="T160" s="33" t="n">
        <x:v>0</x:v>
      </x:c>
    </x:row>
    <x:row r="161">
      <x:c r="A161" s="33" t="n">
        <x:v>157</x:v>
      </x:c>
      <x:c r="B161" s="38" t="str">
        <x:v>Beef birria</x:v>
      </x:c>
      <x:c r="C161" s="38" t="str">
        <x:v>Mijoté / curry</x:v>
      </x:c>
      <x:c r="D161" s="38" t="str">
        <x:v>oignon, bouillon, épices, bœuf à mijoter, légumes</x:v>
      </x:c>
      <x:c r="E161" s="33" t="n">
        <x:v>25</x:v>
      </x:c>
      <x:c r="F161" s="33" t="n">
        <x:v>75</x:v>
      </x:c>
      <x:c r="G161" s="56" t="n">
        <x:v>4.4</x:v>
      </x:c>
      <x:c r="H161" s="56" t="n">
        <x:v>3.3</x:v>
      </x:c>
      <x:c r="I161" s="33" t="n">
        <x:v>0</x:v>
      </x:c>
      <x:c r="J161" s="57" t="n">
        <x:v>15.5</x:v>
      </x:c>
      <x:c r="K161" s="57" t="n">
        <x:f>J161*'Hypothèses &amp; sources'!$E$4</x:f>
        <x:v>15.5</x:v>
      </x:c>
      <x:c r="L161" s="57" t="n">
        <x:f>J161*'Hypothèses &amp; sources'!$F$4</x:f>
        <x:v>16.43</x:v>
      </x:c>
      <x:c r="M161" s="57" t="n">
        <x:f>J161*'Hypothèses &amp; sources'!$G$4</x:f>
        <x:v>17.05</x:v>
      </x:c>
      <x:c r="N161" s="57" t="n">
        <x:f>J161*'Hypothèses &amp; sources'!$H$4</x:f>
        <x:v>17.205000000000002</x:v>
      </x:c>
      <x:c r="O161" s="57" t="n">
        <x:f>J161*'Hypothèses &amp; sources'!$I$4</x:f>
        <x:v>19.22</x:v>
      </x:c>
      <x:c r="P161" s="57" t="str">
        <x:v>Lidl</x:v>
      </x:c>
      <x:c r="Q161" s="57" t="n">
        <x:f>IF(P161="Lidl",K161,IF(P161="Super U",L161,IF(P161="Carrefour",M161,IF(P161="Auchan",N161,O161))))</x:f>
        <x:v>15.5</x:v>
      </x:c>
      <x:c r="R161" s="57" t="n">
        <x:f>Q161/'Hypothèses &amp; sources'!$B$4</x:f>
        <x:v>3.875</x:v>
      </x:c>
      <x:c r="S161" s="56" t="n">
        <x:f>MAX(0,'Hypothèses &amp; sources'!$B$5*MAX(0,MIN(100,'Hypothèses &amp; sources'!$B$10-R161*'Hypothèses &amp; sources'!$B$9))+'Hypothèses &amp; sources'!$B$6*(G161/5*100)+'Hypothèses &amp; sources'!$B$7*(H161/5*100)+'Hypothèses &amp; sources'!$B$8*MAX(0,MIN(100,'Hypothèses &amp; sources'!$B$12-E161*'Hypothèses &amp; sources'!$B$11))-T161)</x:f>
        <x:v>69.78999999999999</x:v>
      </x:c>
      <x:c r="T161" s="33" t="n">
        <x:v>0</x:v>
      </x:c>
    </x:row>
    <x:row r="162">
      <x:c r="A162" s="33" t="n">
        <x:v>158</x:v>
      </x:c>
      <x:c r="B162" s="38" t="str">
        <x:v>Beef stew with root vegetables</x:v>
      </x:c>
      <x:c r="C162" s="38" t="str">
        <x:v>Mijoté / curry</x:v>
      </x:c>
      <x:c r="D162" s="38" t="str">
        <x:v>oignon, bouillon, épices, bœuf à mijoter, légumes</x:v>
      </x:c>
      <x:c r="E162" s="33" t="n">
        <x:v>25</x:v>
      </x:c>
      <x:c r="F162" s="33" t="n">
        <x:v>75</x:v>
      </x:c>
      <x:c r="G162" s="56" t="n">
        <x:v>4.4</x:v>
      </x:c>
      <x:c r="H162" s="56" t="n">
        <x:v>3.3</x:v>
      </x:c>
      <x:c r="I162" s="33" t="n">
        <x:v>0</x:v>
      </x:c>
      <x:c r="J162" s="57" t="n">
        <x:v>15.5</x:v>
      </x:c>
      <x:c r="K162" s="57" t="n">
        <x:f>J162*'Hypothèses &amp; sources'!$E$4</x:f>
        <x:v>15.5</x:v>
      </x:c>
      <x:c r="L162" s="57" t="n">
        <x:f>J162*'Hypothèses &amp; sources'!$F$4</x:f>
        <x:v>16.43</x:v>
      </x:c>
      <x:c r="M162" s="57" t="n">
        <x:f>J162*'Hypothèses &amp; sources'!$G$4</x:f>
        <x:v>17.05</x:v>
      </x:c>
      <x:c r="N162" s="57" t="n">
        <x:f>J162*'Hypothèses &amp; sources'!$H$4</x:f>
        <x:v>17.205000000000002</x:v>
      </x:c>
      <x:c r="O162" s="57" t="n">
        <x:f>J162*'Hypothèses &amp; sources'!$I$4</x:f>
        <x:v>19.22</x:v>
      </x:c>
      <x:c r="P162" s="57" t="str">
        <x:v>Lidl</x:v>
      </x:c>
      <x:c r="Q162" s="57" t="n">
        <x:f>IF(P162="Lidl",K162,IF(P162="Super U",L162,IF(P162="Carrefour",M162,IF(P162="Auchan",N162,O162))))</x:f>
        <x:v>15.5</x:v>
      </x:c>
      <x:c r="R162" s="57" t="n">
        <x:f>Q162/'Hypothèses &amp; sources'!$B$4</x:f>
        <x:v>3.875</x:v>
      </x:c>
      <x:c r="S162" s="56" t="n">
        <x:f>MAX(0,'Hypothèses &amp; sources'!$B$5*MAX(0,MIN(100,'Hypothèses &amp; sources'!$B$10-R162*'Hypothèses &amp; sources'!$B$9))+'Hypothèses &amp; sources'!$B$6*(G162/5*100)+'Hypothèses &amp; sources'!$B$7*(H162/5*100)+'Hypothèses &amp; sources'!$B$8*MAX(0,MIN(100,'Hypothèses &amp; sources'!$B$12-E162*'Hypothèses &amp; sources'!$B$11))-T162)</x:f>
        <x:v>69.78999999999999</x:v>
      </x:c>
      <x:c r="T162" s="33" t="n">
        <x:v>0</x:v>
      </x:c>
    </x:row>
    <x:row r="163">
      <x:c r="A163" s="33" t="n">
        <x:v>159</x:v>
      </x:c>
      <x:c r="B163" s="38" t="str">
        <x:v>Braised beef</x:v>
      </x:c>
      <x:c r="C163" s="38" t="str">
        <x:v>Mijoté / curry</x:v>
      </x:c>
      <x:c r="D163" s="38" t="str">
        <x:v>oignon, bouillon, épices, bœuf à mijoter, légumes</x:v>
      </x:c>
      <x:c r="E163" s="33" t="n">
        <x:v>25</x:v>
      </x:c>
      <x:c r="F163" s="33" t="n">
        <x:v>90</x:v>
      </x:c>
      <x:c r="G163" s="56" t="n">
        <x:v>4.4</x:v>
      </x:c>
      <x:c r="H163" s="56" t="n">
        <x:v>3.3</x:v>
      </x:c>
      <x:c r="I163" s="33" t="n">
        <x:v>0</x:v>
      </x:c>
      <x:c r="J163" s="57" t="n">
        <x:v>15.5</x:v>
      </x:c>
      <x:c r="K163" s="57" t="n">
        <x:f>J163*'Hypothèses &amp; sources'!$E$4</x:f>
        <x:v>15.5</x:v>
      </x:c>
      <x:c r="L163" s="57" t="n">
        <x:f>J163*'Hypothèses &amp; sources'!$F$4</x:f>
        <x:v>16.43</x:v>
      </x:c>
      <x:c r="M163" s="57" t="n">
        <x:f>J163*'Hypothèses &amp; sources'!$G$4</x:f>
        <x:v>17.05</x:v>
      </x:c>
      <x:c r="N163" s="57" t="n">
        <x:f>J163*'Hypothèses &amp; sources'!$H$4</x:f>
        <x:v>17.205000000000002</x:v>
      </x:c>
      <x:c r="O163" s="57" t="n">
        <x:f>J163*'Hypothèses &amp; sources'!$I$4</x:f>
        <x:v>19.22</x:v>
      </x:c>
      <x:c r="P163" s="57" t="str">
        <x:v>Lidl</x:v>
      </x:c>
      <x:c r="Q163" s="57" t="n">
        <x:f>IF(P163="Lidl",K163,IF(P163="Super U",L163,IF(P163="Carrefour",M163,IF(P163="Auchan",N163,O163))))</x:f>
        <x:v>15.5</x:v>
      </x:c>
      <x:c r="R163" s="57" t="n">
        <x:f>Q163/'Hypothèses &amp; sources'!$B$4</x:f>
        <x:v>3.875</x:v>
      </x:c>
      <x:c r="S163" s="56" t="n">
        <x:f>MAX(0,'Hypothèses &amp; sources'!$B$5*MAX(0,MIN(100,'Hypothèses &amp; sources'!$B$10-R163*'Hypothèses &amp; sources'!$B$9))+'Hypothèses &amp; sources'!$B$6*(G163/5*100)+'Hypothèses &amp; sources'!$B$7*(H163/5*100)+'Hypothèses &amp; sources'!$B$8*MAX(0,MIN(100,'Hypothèses &amp; sources'!$B$12-E163*'Hypothèses &amp; sources'!$B$11))-T163)</x:f>
        <x:v>69.78999999999999</x:v>
      </x:c>
      <x:c r="T163" s="33" t="n">
        <x:v>0</x:v>
      </x:c>
    </x:row>
    <x:row r="164">
      <x:c r="A164" s="33" t="n">
        <x:v>160</x:v>
      </x:c>
      <x:c r="B164" s="38" t="str">
        <x:v>Ragout de boeuf</x:v>
      </x:c>
      <x:c r="C164" s="38" t="str">
        <x:v>Mijoté / curry</x:v>
      </x:c>
      <x:c r="D164" s="38" t="str">
        <x:v>oignon, bouillon, épices, bœuf à mijoter, légumes</x:v>
      </x:c>
      <x:c r="E164" s="33" t="n">
        <x:v>25</x:v>
      </x:c>
      <x:c r="F164" s="33" t="n">
        <x:v>75</x:v>
      </x:c>
      <x:c r="G164" s="56" t="n">
        <x:v>4.4</x:v>
      </x:c>
      <x:c r="H164" s="56" t="n">
        <x:v>3.3</x:v>
      </x:c>
      <x:c r="I164" s="33" t="n">
        <x:v>0</x:v>
      </x:c>
      <x:c r="J164" s="57" t="n">
        <x:v>15.5</x:v>
      </x:c>
      <x:c r="K164" s="57" t="n">
        <x:f>J164*'Hypothèses &amp; sources'!$E$4</x:f>
        <x:v>15.5</x:v>
      </x:c>
      <x:c r="L164" s="57" t="n">
        <x:f>J164*'Hypothèses &amp; sources'!$F$4</x:f>
        <x:v>16.43</x:v>
      </x:c>
      <x:c r="M164" s="57" t="n">
        <x:f>J164*'Hypothèses &amp; sources'!$G$4</x:f>
        <x:v>17.05</x:v>
      </x:c>
      <x:c r="N164" s="57" t="n">
        <x:f>J164*'Hypothèses &amp; sources'!$H$4</x:f>
        <x:v>17.205000000000002</x:v>
      </x:c>
      <x:c r="O164" s="57" t="n">
        <x:f>J164*'Hypothèses &amp; sources'!$I$4</x:f>
        <x:v>19.22</x:v>
      </x:c>
      <x:c r="P164" s="57" t="str">
        <x:v>Lidl</x:v>
      </x:c>
      <x:c r="Q164" s="57" t="n">
        <x:f>IF(P164="Lidl",K164,IF(P164="Super U",L164,IF(P164="Carrefour",M164,IF(P164="Auchan",N164,O164))))</x:f>
        <x:v>15.5</x:v>
      </x:c>
      <x:c r="R164" s="57" t="n">
        <x:f>Q164/'Hypothèses &amp; sources'!$B$4</x:f>
        <x:v>3.875</x:v>
      </x:c>
      <x:c r="S164" s="56" t="n">
        <x:f>MAX(0,'Hypothèses &amp; sources'!$B$5*MAX(0,MIN(100,'Hypothèses &amp; sources'!$B$10-R164*'Hypothèses &amp; sources'!$B$9))+'Hypothèses &amp; sources'!$B$6*(G164/5*100)+'Hypothèses &amp; sources'!$B$7*(H164/5*100)+'Hypothèses &amp; sources'!$B$8*MAX(0,MIN(100,'Hypothèses &amp; sources'!$B$12-E164*'Hypothèses &amp; sources'!$B$11))-T164)</x:f>
        <x:v>69.78999999999999</x:v>
      </x:c>
      <x:c r="T164" s="33" t="n">
        <x:v>0</x:v>
      </x:c>
    </x:row>
    <x:row r="165">
      <x:c r="A165" s="33" t="n">
        <x:v>161</x:v>
      </x:c>
      <x:c r="B165" s="38" t="str">
        <x:v>Joues de boeuf</x:v>
      </x:c>
      <x:c r="C165" s="38" t="str">
        <x:v>Plat complet</x:v>
      </x:c>
      <x:c r="D165" s="38" t="str">
        <x:v>joues de bœuf</x:v>
      </x:c>
      <x:c r="E165" s="33" t="n">
        <x:v>20</x:v>
      </x:c>
      <x:c r="F165" s="33" t="n">
        <x:v>90</x:v>
      </x:c>
      <x:c r="G165" s="56" t="n">
        <x:v>4.1</x:v>
      </x:c>
      <x:c r="H165" s="56" t="n">
        <x:v>3.1</x:v>
      </x:c>
      <x:c r="I165" s="33" t="n">
        <x:v>1</x:v>
      </x:c>
      <x:c r="J165" s="57" t="n">
        <x:v>14.9</x:v>
      </x:c>
      <x:c r="K165" s="57" t="n">
        <x:f>J165*'Hypothèses &amp; sources'!$E$4</x:f>
        <x:v>14.9</x:v>
      </x:c>
      <x:c r="L165" s="57" t="n">
        <x:f>J165*'Hypothèses &amp; sources'!$F$4</x:f>
        <x:v>15.794</x:v>
      </x:c>
      <x:c r="M165" s="57" t="n">
        <x:f>J165*'Hypothèses &amp; sources'!$G$4</x:f>
        <x:v>16.39</x:v>
      </x:c>
      <x:c r="N165" s="57" t="n">
        <x:f>J165*'Hypothèses &amp; sources'!$H$4</x:f>
        <x:v>16.539</x:v>
      </x:c>
      <x:c r="O165" s="57" t="n">
        <x:f>J165*'Hypothèses &amp; sources'!$I$4</x:f>
        <x:v>18.476</x:v>
      </x:c>
      <x:c r="P165" s="57" t="str">
        <x:v>Super U</x:v>
      </x:c>
      <x:c r="Q165" s="57" t="n">
        <x:f>IF(P165="Lidl",K165,IF(P165="Super U",L165,IF(P165="Carrefour",M165,IF(P165="Auchan",N165,O165))))</x:f>
        <x:v>15.794</x:v>
      </x:c>
      <x:c r="R165" s="57" t="n">
        <x:f>Q165/'Hypothèses &amp; sources'!$B$4</x:f>
        <x:v>3.9485</x:v>
      </x:c>
      <x:c r="S165" s="56" t="n">
        <x:f>MAX(0,'Hypothèses &amp; sources'!$B$5*MAX(0,MIN(100,'Hypothèses &amp; sources'!$B$10-R165*'Hypothèses &amp; sources'!$B$9))+'Hypothèses &amp; sources'!$B$6*(G165/5*100)+'Hypothèses &amp; sources'!$B$7*(H165/5*100)+'Hypothèses &amp; sources'!$B$8*MAX(0,MIN(100,'Hypothèses &amp; sources'!$B$12-E165*'Hypothèses &amp; sources'!$B$11))-T165)</x:f>
        <x:v>68.33955999999999</x:v>
      </x:c>
      <x:c r="T165" s="33" t="n">
        <x:v>0</x:v>
      </x:c>
    </x:row>
    <x:row r="166">
      <x:c r="A166" s="33" t="n">
        <x:v>162</x:v>
      </x:c>
      <x:c r="B166" s="38" t="str">
        <x:v>Beef with haricots vert</x:v>
      </x:c>
      <x:c r="C166" s="38" t="str">
        <x:v>Plat complet</x:v>
      </x:c>
      <x:c r="D166" s="38" t="str">
        <x:v>légumineuses, haricots verts, bœuf à mijoter</x:v>
      </x:c>
      <x:c r="E166" s="33" t="n">
        <x:v>20</x:v>
      </x:c>
      <x:c r="F166" s="33" t="n">
        <x:v>40</x:v>
      </x:c>
      <x:c r="G166" s="56" t="n">
        <x:v>4.8</x:v>
      </x:c>
      <x:c r="H166" s="56" t="n">
        <x:v>3.6</x:v>
      </x:c>
      <x:c r="I166" s="33" t="n">
        <x:v>0</x:v>
      </x:c>
      <x:c r="J166" s="57" t="n">
        <x:v>15.8</x:v>
      </x:c>
      <x:c r="K166" s="57" t="n">
        <x:f>J166*'Hypothèses &amp; sources'!$E$4</x:f>
        <x:v>15.8</x:v>
      </x:c>
      <x:c r="L166" s="57" t="n">
        <x:f>J166*'Hypothèses &amp; sources'!$F$4</x:f>
        <x:v>16.748</x:v>
      </x:c>
      <x:c r="M166" s="57" t="n">
        <x:f>J166*'Hypothèses &amp; sources'!$G$4</x:f>
        <x:v>17.380000000000003</x:v>
      </x:c>
      <x:c r="N166" s="57" t="n">
        <x:f>J166*'Hypothèses &amp; sources'!$H$4</x:f>
        <x:v>17.538000000000004</x:v>
      </x:c>
      <x:c r="O166" s="57" t="n">
        <x:f>J166*'Hypothèses &amp; sources'!$I$4</x:f>
        <x:v>19.592000000000002</x:v>
      </x:c>
      <x:c r="P166" s="57" t="str">
        <x:v>Lidl</x:v>
      </x:c>
      <x:c r="Q166" s="57" t="n">
        <x:f>IF(P166="Lidl",K166,IF(P166="Super U",L166,IF(P166="Carrefour",M166,IF(P166="Auchan",N166,O166))))</x:f>
        <x:v>15.8</x:v>
      </x:c>
      <x:c r="R166" s="57" t="n">
        <x:f>Q166/'Hypothèses &amp; sources'!$B$4</x:f>
        <x:v>3.95</x:v>
      </x:c>
      <x:c r="S166" s="56" t="n">
        <x:f>MAX(0,'Hypothèses &amp; sources'!$B$5*MAX(0,MIN(100,'Hypothèses &amp; sources'!$B$10-R166*'Hypothèses &amp; sources'!$B$9))+'Hypothèses &amp; sources'!$B$6*(G166/5*100)+'Hypothèses &amp; sources'!$B$7*(H166/5*100)+'Hypothèses &amp; sources'!$B$8*MAX(0,MIN(100,'Hypothèses &amp; sources'!$B$12-E166*'Hypothèses &amp; sources'!$B$11))-T166)</x:f>
        <x:v>74.05199999999999</x:v>
      </x:c>
      <x:c r="T166" s="33" t="n">
        <x:v>0</x:v>
      </x:c>
    </x:row>
    <x:row r="167">
      <x:c r="A167" s="33" t="n">
        <x:v>163</x:v>
      </x:c>
      <x:c r="B167" s="38" t="str">
        <x:v>Italian beef</x:v>
      </x:c>
      <x:c r="C167" s="38" t="str">
        <x:v>Plat complet</x:v>
      </x:c>
      <x:c r="D167" s="38" t="str">
        <x:v>rôti / pièce de bœuf</x:v>
      </x:c>
      <x:c r="E167" s="33" t="n">
        <x:v>20</x:v>
      </x:c>
      <x:c r="F167" s="33" t="n">
        <x:v>40</x:v>
      </x:c>
      <x:c r="G167" s="56" t="n">
        <x:v>4</x:v>
      </x:c>
      <x:c r="H167" s="56" t="n">
        <x:v>3.1</x:v>
      </x:c>
      <x:c r="I167" s="33" t="n">
        <x:v>0</x:v>
      </x:c>
      <x:c r="J167" s="57" t="n">
        <x:v>15.9</x:v>
      </x:c>
      <x:c r="K167" s="57" t="n">
        <x:f>J167*'Hypothèses &amp; sources'!$E$4</x:f>
        <x:v>15.9</x:v>
      </x:c>
      <x:c r="L167" s="57" t="n">
        <x:f>J167*'Hypothèses &amp; sources'!$F$4</x:f>
        <x:v>16.854000000000003</x:v>
      </x:c>
      <x:c r="M167" s="57" t="n">
        <x:f>J167*'Hypothèses &amp; sources'!$G$4</x:f>
        <x:v>17.490000000000002</x:v>
      </x:c>
      <x:c r="N167" s="57" t="n">
        <x:f>J167*'Hypothèses &amp; sources'!$H$4</x:f>
        <x:v>17.649</x:v>
      </x:c>
      <x:c r="O167" s="57" t="n">
        <x:f>J167*'Hypothèses &amp; sources'!$I$4</x:f>
        <x:v>19.716</x:v>
      </x:c>
      <x:c r="P167" s="57" t="str">
        <x:v>Lidl</x:v>
      </x:c>
      <x:c r="Q167" s="57" t="n">
        <x:f>IF(P167="Lidl",K167,IF(P167="Super U",L167,IF(P167="Carrefour",M167,IF(P167="Auchan",N167,O167))))</x:f>
        <x:v>15.9</x:v>
      </x:c>
      <x:c r="R167" s="57" t="n">
        <x:f>Q167/'Hypothèses &amp; sources'!$B$4</x:f>
        <x:v>3.975</x:v>
      </x:c>
      <x:c r="S167" s="56" t="n">
        <x:f>MAX(0,'Hypothèses &amp; sources'!$B$5*MAX(0,MIN(100,'Hypothèses &amp; sources'!$B$10-R167*'Hypothèses &amp; sources'!$B$9))+'Hypothèses &amp; sources'!$B$6*(G167/5*100)+'Hypothèses &amp; sources'!$B$7*(H167/5*100)+'Hypothèses &amp; sources'!$B$8*MAX(0,MIN(100,'Hypothèses &amp; sources'!$B$12-E167*'Hypothèses &amp; sources'!$B$11))-T167)</x:f>
        <x:v>67.646</x:v>
      </x:c>
      <x:c r="T167" s="33" t="n">
        <x:v>0</x:v>
      </x:c>
    </x:row>
    <x:row r="168">
      <x:c r="A168" s="33" t="n">
        <x:v>164</x:v>
      </x:c>
      <x:c r="B168" s="38" t="str">
        <x:v>Roti de boeuf américain</x:v>
      </x:c>
      <x:c r="C168" s="38" t="str">
        <x:v>Plat complet</x:v>
      </x:c>
      <x:c r="D168" s="38" t="str">
        <x:v>rôti / pièce de bœuf</x:v>
      </x:c>
      <x:c r="E168" s="33" t="n">
        <x:v>20</x:v>
      </x:c>
      <x:c r="F168" s="33" t="n">
        <x:v>90</x:v>
      </x:c>
      <x:c r="G168" s="56" t="n">
        <x:v>4</x:v>
      </x:c>
      <x:c r="H168" s="56" t="n">
        <x:v>3.1</x:v>
      </x:c>
      <x:c r="I168" s="33" t="n">
        <x:v>0</x:v>
      </x:c>
      <x:c r="J168" s="57" t="n">
        <x:v>15.9</x:v>
      </x:c>
      <x:c r="K168" s="57" t="n">
        <x:f>J168*'Hypothèses &amp; sources'!$E$4</x:f>
        <x:v>15.9</x:v>
      </x:c>
      <x:c r="L168" s="57" t="n">
        <x:f>J168*'Hypothèses &amp; sources'!$F$4</x:f>
        <x:v>16.854000000000003</x:v>
      </x:c>
      <x:c r="M168" s="57" t="n">
        <x:f>J168*'Hypothèses &amp; sources'!$G$4</x:f>
        <x:v>17.490000000000002</x:v>
      </x:c>
      <x:c r="N168" s="57" t="n">
        <x:f>J168*'Hypothèses &amp; sources'!$H$4</x:f>
        <x:v>17.649</x:v>
      </x:c>
      <x:c r="O168" s="57" t="n">
        <x:f>J168*'Hypothèses &amp; sources'!$I$4</x:f>
        <x:v>19.716</x:v>
      </x:c>
      <x:c r="P168" s="57" t="str">
        <x:v>Lidl</x:v>
      </x:c>
      <x:c r="Q168" s="57" t="n">
        <x:f>IF(P168="Lidl",K168,IF(P168="Super U",L168,IF(P168="Carrefour",M168,IF(P168="Auchan",N168,O168))))</x:f>
        <x:v>15.9</x:v>
      </x:c>
      <x:c r="R168" s="57" t="n">
        <x:f>Q168/'Hypothèses &amp; sources'!$B$4</x:f>
        <x:v>3.975</x:v>
      </x:c>
      <x:c r="S168" s="56" t="n">
        <x:f>MAX(0,'Hypothèses &amp; sources'!$B$5*MAX(0,MIN(100,'Hypothèses &amp; sources'!$B$10-R168*'Hypothèses &amp; sources'!$B$9))+'Hypothèses &amp; sources'!$B$6*(G168/5*100)+'Hypothèses &amp; sources'!$B$7*(H168/5*100)+'Hypothèses &amp; sources'!$B$8*MAX(0,MIN(100,'Hypothèses &amp; sources'!$B$12-E168*'Hypothèses &amp; sources'!$B$11))-T168)</x:f>
        <x:v>67.646</x:v>
      </x:c>
      <x:c r="T168" s="33" t="n">
        <x:v>0</x:v>
      </x:c>
    </x:row>
    <x:row r="169">
      <x:c r="A169" s="33" t="n">
        <x:v>165</x:v>
      </x:c>
      <x:c r="B169" s="38" t="str">
        <x:v>Round steak italiano</x:v>
      </x:c>
      <x:c r="C169" s="38" t="str">
        <x:v>Plat complet</x:v>
      </x:c>
      <x:c r="D169" s="38" t="str">
        <x:v>rôti / pièce de bœuf</x:v>
      </x:c>
      <x:c r="E169" s="33" t="n">
        <x:v>20</x:v>
      </x:c>
      <x:c r="F169" s="33" t="n">
        <x:v>40</x:v>
      </x:c>
      <x:c r="G169" s="56" t="n">
        <x:v>4</x:v>
      </x:c>
      <x:c r="H169" s="56" t="n">
        <x:v>3.1</x:v>
      </x:c>
      <x:c r="I169" s="33" t="n">
        <x:v>0</x:v>
      </x:c>
      <x:c r="J169" s="57" t="n">
        <x:v>15.9</x:v>
      </x:c>
      <x:c r="K169" s="57" t="n">
        <x:f>J169*'Hypothèses &amp; sources'!$E$4</x:f>
        <x:v>15.9</x:v>
      </x:c>
      <x:c r="L169" s="57" t="n">
        <x:f>J169*'Hypothèses &amp; sources'!$F$4</x:f>
        <x:v>16.854000000000003</x:v>
      </x:c>
      <x:c r="M169" s="57" t="n">
        <x:f>J169*'Hypothèses &amp; sources'!$G$4</x:f>
        <x:v>17.490000000000002</x:v>
      </x:c>
      <x:c r="N169" s="57" t="n">
        <x:f>J169*'Hypothèses &amp; sources'!$H$4</x:f>
        <x:v>17.649</x:v>
      </x:c>
      <x:c r="O169" s="57" t="n">
        <x:f>J169*'Hypothèses &amp; sources'!$I$4</x:f>
        <x:v>19.716</x:v>
      </x:c>
      <x:c r="P169" s="57" t="str">
        <x:v>Lidl</x:v>
      </x:c>
      <x:c r="Q169" s="57" t="n">
        <x:f>IF(P169="Lidl",K169,IF(P169="Super U",L169,IF(P169="Carrefour",M169,IF(P169="Auchan",N169,O169))))</x:f>
        <x:v>15.9</x:v>
      </x:c>
      <x:c r="R169" s="57" t="n">
        <x:f>Q169/'Hypothèses &amp; sources'!$B$4</x:f>
        <x:v>3.975</x:v>
      </x:c>
      <x:c r="S169" s="56" t="n">
        <x:f>MAX(0,'Hypothèses &amp; sources'!$B$5*MAX(0,MIN(100,'Hypothèses &amp; sources'!$B$10-R169*'Hypothèses &amp; sources'!$B$9))+'Hypothèses &amp; sources'!$B$6*(G169/5*100)+'Hypothèses &amp; sources'!$B$7*(H169/5*100)+'Hypothèses &amp; sources'!$B$8*MAX(0,MIN(100,'Hypothèses &amp; sources'!$B$12-E169*'Hypothèses &amp; sources'!$B$11))-T169)</x:f>
        <x:v>67.646</x:v>
      </x:c>
      <x:c r="T169" s="33" t="n">
        <x:v>0</x:v>
      </x:c>
    </x:row>
    <x:row r="170">
      <x:c r="A170" s="33" t="n">
        <x:v>166</x:v>
      </x:c>
      <x:c r="B170" s="38" t="str">
        <x:v>Spicy beef vegetable stew</x:v>
      </x:c>
      <x:c r="C170" s="38" t="str">
        <x:v>Mijoté / curry</x:v>
      </x:c>
      <x:c r="D170" s="38" t="str">
        <x:v>piment / chili, oignon, bouillon, épices, bœuf à mijoter, légumes</x:v>
      </x:c>
      <x:c r="E170" s="33" t="n">
        <x:v>25</x:v>
      </x:c>
      <x:c r="F170" s="33" t="n">
        <x:v>75</x:v>
      </x:c>
      <x:c r="G170" s="56" t="n">
        <x:v>4.4</x:v>
      </x:c>
      <x:c r="H170" s="56" t="n">
        <x:v>3.3</x:v>
      </x:c>
      <x:c r="I170" s="33" t="n">
        <x:v>0</x:v>
      </x:c>
      <x:c r="J170" s="57" t="n">
        <x:v>16</x:v>
      </x:c>
      <x:c r="K170" s="57" t="n">
        <x:f>J170*'Hypothèses &amp; sources'!$E$4</x:f>
        <x:v>16</x:v>
      </x:c>
      <x:c r="L170" s="57" t="n">
        <x:f>J170*'Hypothèses &amp; sources'!$F$4</x:f>
        <x:v>16.96</x:v>
      </x:c>
      <x:c r="M170" s="57" t="n">
        <x:f>J170*'Hypothèses &amp; sources'!$G$4</x:f>
        <x:v>17.6</x:v>
      </x:c>
      <x:c r="N170" s="57" t="n">
        <x:f>J170*'Hypothèses &amp; sources'!$H$4</x:f>
        <x:v>17.76</x:v>
      </x:c>
      <x:c r="O170" s="57" t="n">
        <x:f>J170*'Hypothèses &amp; sources'!$I$4</x:f>
        <x:v>19.84</x:v>
      </x:c>
      <x:c r="P170" s="57" t="str">
        <x:v>Lidl</x:v>
      </x:c>
      <x:c r="Q170" s="57" t="n">
        <x:f>IF(P170="Lidl",K170,IF(P170="Super U",L170,IF(P170="Carrefour",M170,IF(P170="Auchan",N170,O170))))</x:f>
        <x:v>16</x:v>
      </x:c>
      <x:c r="R170" s="57" t="n">
        <x:f>Q170/'Hypothèses &amp; sources'!$B$4</x:f>
        <x:v>4</x:v>
      </x:c>
      <x:c r="S170" s="56" t="n">
        <x:f>MAX(0,'Hypothèses &amp; sources'!$B$5*MAX(0,MIN(100,'Hypothèses &amp; sources'!$B$10-R170*'Hypothèses &amp; sources'!$B$9))+'Hypothèses &amp; sources'!$B$6*(G170/5*100)+'Hypothèses &amp; sources'!$B$7*(H170/5*100)+'Hypothèses &amp; sources'!$B$8*MAX(0,MIN(100,'Hypothèses &amp; sources'!$B$12-E170*'Hypothèses &amp; sources'!$B$11))-T170)</x:f>
        <x:v>69.16</x:v>
      </x:c>
      <x:c r="T170" s="33" t="n">
        <x:v>0</x:v>
      </x:c>
    </x:row>
    <x:row r="171">
      <x:c r="A171" s="33" t="n">
        <x:v>167</x:v>
      </x:c>
      <x:c r="B171" s="38" t="str">
        <x:v>Salmon with chili-lime sauce</x:v>
      </x:c>
      <x:c r="C171" s="38" t="str">
        <x:v>Plat complet</x:v>
      </x:c>
      <x:c r="D171" s="38" t="str">
        <x:v>piment / chili, citron vert, saumon</x:v>
      </x:c>
      <x:c r="E171" s="33" t="n">
        <x:v>20</x:v>
      </x:c>
      <x:c r="F171" s="33" t="n">
        <x:v>40</x:v>
      </x:c>
      <x:c r="G171" s="56" t="n">
        <x:v>3.2</x:v>
      </x:c>
      <x:c r="H171" s="56" t="n">
        <x:v>3.7</x:v>
      </x:c>
      <x:c r="I171" s="33" t="n">
        <x:v>1</x:v>
      </x:c>
      <x:c r="J171" s="57" t="n">
        <x:v>15.6</x:v>
      </x:c>
      <x:c r="K171" s="57" t="n">
        <x:f>J171*'Hypothèses &amp; sources'!$E$4</x:f>
        <x:v>15.6</x:v>
      </x:c>
      <x:c r="L171" s="57" t="n">
        <x:f>J171*'Hypothèses &amp; sources'!$F$4</x:f>
        <x:v>16.536</x:v>
      </x:c>
      <x:c r="M171" s="57" t="n">
        <x:f>J171*'Hypothèses &amp; sources'!$G$4</x:f>
        <x:v>17.16</x:v>
      </x:c>
      <x:c r="N171" s="57" t="n">
        <x:f>J171*'Hypothèses &amp; sources'!$H$4</x:f>
        <x:v>17.316000000000003</x:v>
      </x:c>
      <x:c r="O171" s="57" t="n">
        <x:f>J171*'Hypothèses &amp; sources'!$I$4</x:f>
        <x:v>19.344</x:v>
      </x:c>
      <x:c r="P171" s="57" t="str">
        <x:v>Super U</x:v>
      </x:c>
      <x:c r="Q171" s="57" t="n">
        <x:f>IF(P171="Lidl",K171,IF(P171="Super U",L171,IF(P171="Carrefour",M171,IF(P171="Auchan",N171,O171))))</x:f>
        <x:v>16.536</x:v>
      </x:c>
      <x:c r="R171" s="57" t="n">
        <x:f>Q171/'Hypothèses &amp; sources'!$B$4</x:f>
        <x:v>4.134</x:v>
      </x:c>
      <x:c r="S171" s="56" t="n">
        <x:f>MAX(0,'Hypothèses &amp; sources'!$B$5*MAX(0,MIN(100,'Hypothèses &amp; sources'!$B$10-R171*'Hypothèses &amp; sources'!$B$9))+'Hypothèses &amp; sources'!$B$6*(G171/5*100)+'Hypothèses &amp; sources'!$B$7*(H171/5*100)+'Hypothèses &amp; sources'!$B$8*MAX(0,MIN(100,'Hypothèses &amp; sources'!$B$12-E171*'Hypothèses &amp; sources'!$B$11))-T171)</x:f>
        <x:v>64.52463999999999</x:v>
      </x:c>
      <x:c r="T171" s="33" t="n">
        <x:v>0</x:v>
      </x:c>
    </x:row>
    <x:row r="172">
      <x:c r="A172" s="33" t="n">
        <x:v>168</x:v>
      </x:c>
      <x:c r="B172" s="38" t="str">
        <x:v>Coquilles cremeuses au boeuf</x:v>
      </x:c>
      <x:c r="C172" s="38" t="str">
        <x:v>Plat complet</x:v>
      </x:c>
      <x:c r="D172" s="38" t="str">
        <x:v>pâtes / nouilles, bœuf à mijoter, crème / fromage</x:v>
      </x:c>
      <x:c r="E172" s="33" t="n">
        <x:v>20</x:v>
      </x:c>
      <x:c r="F172" s="33" t="n">
        <x:v>40</x:v>
      </x:c>
      <x:c r="G172" s="56" t="n">
        <x:v>4.6</x:v>
      </x:c>
      <x:c r="H172" s="56" t="n">
        <x:v>3</x:v>
      </x:c>
      <x:c r="I172" s="33" t="n">
        <x:v>0</x:v>
      </x:c>
      <x:c r="J172" s="57" t="n">
        <x:v>16.7</x:v>
      </x:c>
      <x:c r="K172" s="57" t="n">
        <x:f>J172*'Hypothèses &amp; sources'!$E$4</x:f>
        <x:v>16.7</x:v>
      </x:c>
      <x:c r="L172" s="57" t="n">
        <x:f>J172*'Hypothèses &amp; sources'!$F$4</x:f>
        <x:v>17.702</x:v>
      </x:c>
      <x:c r="M172" s="57" t="n">
        <x:f>J172*'Hypothèses &amp; sources'!$G$4</x:f>
        <x:v>18.37</x:v>
      </x:c>
      <x:c r="N172" s="57" t="n">
        <x:f>J172*'Hypothèses &amp; sources'!$H$4</x:f>
        <x:v>18.537000000000003</x:v>
      </x:c>
      <x:c r="O172" s="57" t="n">
        <x:f>J172*'Hypothèses &amp; sources'!$I$4</x:f>
        <x:v>20.708</x:v>
      </x:c>
      <x:c r="P172" s="57" t="str">
        <x:v>Lidl</x:v>
      </x:c>
      <x:c r="Q172" s="57" t="n">
        <x:f>IF(P172="Lidl",K172,IF(P172="Super U",L172,IF(P172="Carrefour",M172,IF(P172="Auchan",N172,O172))))</x:f>
        <x:v>16.7</x:v>
      </x:c>
      <x:c r="R172" s="57" t="n">
        <x:f>Q172/'Hypothèses &amp; sources'!$B$4</x:f>
        <x:v>4.175</x:v>
      </x:c>
      <x:c r="S172" s="56" t="n">
        <x:f>MAX(0,'Hypothèses &amp; sources'!$B$5*MAX(0,MIN(100,'Hypothèses &amp; sources'!$B$10-R172*'Hypothèses &amp; sources'!$B$9))+'Hypothèses &amp; sources'!$B$6*(G172/5*100)+'Hypothèses &amp; sources'!$B$7*(H172/5*100)+'Hypothèses &amp; sources'!$B$8*MAX(0,MIN(100,'Hypothèses &amp; sources'!$B$12-E172*'Hypothèses &amp; sources'!$B$11))-T172)</x:f>
        <x:v>69.638</x:v>
      </x:c>
      <x:c r="T172" s="33" t="n">
        <x:v>0</x:v>
      </x:c>
    </x:row>
    <x:row r="173">
      <x:c r="A173" s="33" t="n">
        <x:v>169</x:v>
      </x:c>
      <x:c r="B173" s="38" t="str">
        <x:v>Tortellinis cremeux au boeuf</x:v>
      </x:c>
      <x:c r="C173" s="38" t="str">
        <x:v>Plat complet</x:v>
      </x:c>
      <x:c r="D173" s="38" t="str">
        <x:v>pâtes / nouilles, bœuf à mijoter, crème / fromage</x:v>
      </x:c>
      <x:c r="E173" s="33" t="n">
        <x:v>20</x:v>
      </x:c>
      <x:c r="F173" s="33" t="n">
        <x:v>40</x:v>
      </x:c>
      <x:c r="G173" s="56" t="n">
        <x:v>4.6</x:v>
      </x:c>
      <x:c r="H173" s="56" t="n">
        <x:v>3</x:v>
      </x:c>
      <x:c r="I173" s="33" t="n">
        <x:v>0</x:v>
      </x:c>
      <x:c r="J173" s="57" t="n">
        <x:v>16.7</x:v>
      </x:c>
      <x:c r="K173" s="57" t="n">
        <x:f>J173*'Hypothèses &amp; sources'!$E$4</x:f>
        <x:v>16.7</x:v>
      </x:c>
      <x:c r="L173" s="57" t="n">
        <x:f>J173*'Hypothèses &amp; sources'!$F$4</x:f>
        <x:v>17.702</x:v>
      </x:c>
      <x:c r="M173" s="57" t="n">
        <x:f>J173*'Hypothèses &amp; sources'!$G$4</x:f>
        <x:v>18.37</x:v>
      </x:c>
      <x:c r="N173" s="57" t="n">
        <x:f>J173*'Hypothèses &amp; sources'!$H$4</x:f>
        <x:v>18.537000000000003</x:v>
      </x:c>
      <x:c r="O173" s="57" t="n">
        <x:f>J173*'Hypothèses &amp; sources'!$I$4</x:f>
        <x:v>20.708</x:v>
      </x:c>
      <x:c r="P173" s="57" t="str">
        <x:v>Lidl</x:v>
      </x:c>
      <x:c r="Q173" s="57" t="n">
        <x:f>IF(P173="Lidl",K173,IF(P173="Super U",L173,IF(P173="Carrefour",M173,IF(P173="Auchan",N173,O173))))</x:f>
        <x:v>16.7</x:v>
      </x:c>
      <x:c r="R173" s="57" t="n">
        <x:f>Q173/'Hypothèses &amp; sources'!$B$4</x:f>
        <x:v>4.175</x:v>
      </x:c>
      <x:c r="S173" s="56" t="n">
        <x:f>MAX(0,'Hypothèses &amp; sources'!$B$5*MAX(0,MIN(100,'Hypothèses &amp; sources'!$B$10-R173*'Hypothèses &amp; sources'!$B$9))+'Hypothèses &amp; sources'!$B$6*(G173/5*100)+'Hypothèses &amp; sources'!$B$7*(H173/5*100)+'Hypothèses &amp; sources'!$B$8*MAX(0,MIN(100,'Hypothèses &amp; sources'!$B$12-E173*'Hypothèses &amp; sources'!$B$11))-T173)</x:f>
        <x:v>69.638</x:v>
      </x:c>
      <x:c r="T173" s="33" t="n">
        <x:v>0</x:v>
      </x:c>
    </x:row>
    <x:row r="174">
      <x:c r="A174" s="33" t="n">
        <x:v>170</x:v>
      </x:c>
      <x:c r="B174" s="38" t="str">
        <x:v>Ragout de chou et haricots au boeuf</x:v>
      </x:c>
      <x:c r="C174" s="38" t="str">
        <x:v>Mijoté / curry</x:v>
      </x:c>
      <x:c r="D174" s="38" t="str">
        <x:v>oignon, bouillon, épices, légumineuses, chou, bœuf à mijoter</x:v>
      </x:c>
      <x:c r="E174" s="33" t="n">
        <x:v>25</x:v>
      </x:c>
      <x:c r="F174" s="33" t="n">
        <x:v>75</x:v>
      </x:c>
      <x:c r="G174" s="56" t="n">
        <x:v>5</x:v>
      </x:c>
      <x:c r="H174" s="56" t="n">
        <x:v>4</x:v>
      </x:c>
      <x:c r="I174" s="33" t="n">
        <x:v>0</x:v>
      </x:c>
      <x:c r="J174" s="57" t="n">
        <x:v>16.9</x:v>
      </x:c>
      <x:c r="K174" s="57" t="n">
        <x:f>J174*'Hypothèses &amp; sources'!$E$4</x:f>
        <x:v>16.9</x:v>
      </x:c>
      <x:c r="L174" s="57" t="n">
        <x:f>J174*'Hypothèses &amp; sources'!$F$4</x:f>
        <x:v>17.913999999999998</x:v>
      </x:c>
      <x:c r="M174" s="57" t="n">
        <x:f>J174*'Hypothèses &amp; sources'!$G$4</x:f>
        <x:v>18.59</x:v>
      </x:c>
      <x:c r="N174" s="57" t="n">
        <x:f>J174*'Hypothèses &amp; sources'!$H$4</x:f>
        <x:v>18.759</x:v>
      </x:c>
      <x:c r="O174" s="57" t="n">
        <x:f>J174*'Hypothèses &amp; sources'!$I$4</x:f>
        <x:v>20.956</x:v>
      </x:c>
      <x:c r="P174" s="57" t="str">
        <x:v>Lidl</x:v>
      </x:c>
      <x:c r="Q174" s="57" t="n">
        <x:f>IF(P174="Lidl",K174,IF(P174="Super U",L174,IF(P174="Carrefour",M174,IF(P174="Auchan",N174,O174))))</x:f>
        <x:v>16.9</x:v>
      </x:c>
      <x:c r="R174" s="57" t="n">
        <x:f>Q174/'Hypothèses &amp; sources'!$B$4</x:f>
        <x:v>4.225</x:v>
      </x:c>
      <x:c r="S174" s="56" t="n">
        <x:f>MAX(0,'Hypothèses &amp; sources'!$B$5*MAX(0,MIN(100,'Hypothèses &amp; sources'!$B$10-R174*'Hypothèses &amp; sources'!$B$9))+'Hypothèses &amp; sources'!$B$6*(G174/5*100)+'Hypothèses &amp; sources'!$B$7*(H174/5*100)+'Hypothèses &amp; sources'!$B$8*MAX(0,MIN(100,'Hypothèses &amp; sources'!$B$12-E174*'Hypothèses &amp; sources'!$B$11))-T174)</x:f>
        <x:v>73.906</x:v>
      </x:c>
      <x:c r="T174" s="33" t="n">
        <x:v>0</x:v>
      </x:c>
    </x:row>
    <x:row r="175">
      <x:c r="A175" s="33" t="n">
        <x:v>171</x:v>
      </x:c>
      <x:c r="B175" s="38" t="str">
        <x:v>Beef stew with mushrooms and barley</x:v>
      </x:c>
      <x:c r="C175" s="38" t="str">
        <x:v>Mijoté / bœuf</x:v>
      </x:c>
      <x:c r="D175" s="38" t="str">
        <x:v>bœuf à mijoter, orge perlé, champignons, carottes, oignon, bouillon</x:v>
      </x:c>
      <x:c r="E175" s="33" t="n">
        <x:v>25</x:v>
      </x:c>
      <x:c r="F175" s="33" t="n">
        <x:v>75</x:v>
      </x:c>
      <x:c r="G175" s="56" t="n">
        <x:v>5</x:v>
      </x:c>
      <x:c r="H175" s="56" t="n">
        <x:v>4.3</x:v>
      </x:c>
      <x:c r="I175" s="33" t="n">
        <x:v>1</x:v>
      </x:c>
      <x:c r="J175" s="57" t="n">
        <x:v>16</x:v>
      </x:c>
      <x:c r="K175" s="57" t="n">
        <x:f>J175*'Hypothèses &amp; sources'!$E$4</x:f>
        <x:v>16</x:v>
      </x:c>
      <x:c r="L175" s="57" t="n">
        <x:f>J175*'Hypothèses &amp; sources'!$F$4</x:f>
        <x:v>16.96</x:v>
      </x:c>
      <x:c r="M175" s="57" t="n">
        <x:f>J175*'Hypothèses &amp; sources'!$G$4</x:f>
        <x:v>17.6</x:v>
      </x:c>
      <x:c r="N175" s="57" t="n">
        <x:f>J175*'Hypothèses &amp; sources'!$H$4</x:f>
        <x:v>17.76</x:v>
      </x:c>
      <x:c r="O175" s="57" t="n">
        <x:f>J175*'Hypothèses &amp; sources'!$I$4</x:f>
        <x:v>19.84</x:v>
      </x:c>
      <x:c r="P175" s="57" t="str">
        <x:v>Super U</x:v>
      </x:c>
      <x:c r="Q175" s="57" t="n">
        <x:f>IF(P175="Lidl",K175,IF(P175="Super U",L175,IF(P175="Carrefour",M175,IF(P175="Auchan",N175,O175))))</x:f>
        <x:v>16.96</x:v>
      </x:c>
      <x:c r="R175" s="57" t="n">
        <x:f>Q175/'Hypothèses &amp; sources'!$B$4</x:f>
        <x:v>4.24</x:v>
      </x:c>
      <x:c r="S175" s="56" t="n">
        <x:f>MAX(0,'Hypothèses &amp; sources'!$B$5*MAX(0,MIN(100,'Hypothèses &amp; sources'!$B$10-R175*'Hypothèses &amp; sources'!$B$9))+'Hypothèses &amp; sources'!$B$6*(G175/5*100)+'Hypothèses &amp; sources'!$B$7*(H175/5*100)+'Hypothèses &amp; sources'!$B$8*MAX(0,MIN(100,'Hypothèses &amp; sources'!$B$12-E175*'Hypothèses &amp; sources'!$B$11))-T175)</x:f>
        <x:v>74.9104</x:v>
      </x:c>
      <x:c r="T175" s="33" t="n">
        <x:v>0</x:v>
      </x:c>
    </x:row>
    <x:row r="176">
      <x:c r="A176" s="33" t="n">
        <x:v>172</x:v>
      </x:c>
      <x:c r="B176" s="38" t="str">
        <x:v>Jhinga nariyalwala/shrimp coconut curry</x:v>
      </x:c>
      <x:c r="C176" s="38" t="str">
        <x:v>Curry / cuisine épicée</x:v>
      </x:c>
      <x:c r="D176" s="38" t="str">
        <x:v>oignon, ail, gingembre, épices, crevettes, lait de coco, légumes</x:v>
      </x:c>
      <x:c r="E176" s="33" t="n">
        <x:v>25</x:v>
      </x:c>
      <x:c r="F176" s="33" t="n">
        <x:v>55</x:v>
      </x:c>
      <x:c r="G176" s="56" t="n">
        <x:v>3.2</x:v>
      </x:c>
      <x:c r="H176" s="56" t="n">
        <x:v>3.7</x:v>
      </x:c>
      <x:c r="I176" s="33" t="n">
        <x:v>1</x:v>
      </x:c>
      <x:c r="J176" s="57" t="n">
        <x:v>16.2</x:v>
      </x:c>
      <x:c r="K176" s="57" t="n">
        <x:f>J176*'Hypothèses &amp; sources'!$E$4</x:f>
        <x:v>16.2</x:v>
      </x:c>
      <x:c r="L176" s="57" t="n">
        <x:f>J176*'Hypothèses &amp; sources'!$F$4</x:f>
        <x:v>17.172</x:v>
      </x:c>
      <x:c r="M176" s="57" t="n">
        <x:f>J176*'Hypothèses &amp; sources'!$G$4</x:f>
        <x:v>17.82</x:v>
      </x:c>
      <x:c r="N176" s="57" t="n">
        <x:f>J176*'Hypothèses &amp; sources'!$H$4</x:f>
        <x:v>17.982</x:v>
      </x:c>
      <x:c r="O176" s="57" t="n">
        <x:f>J176*'Hypothèses &amp; sources'!$I$4</x:f>
        <x:v>20.087999999999997</x:v>
      </x:c>
      <x:c r="P176" s="57" t="str">
        <x:v>Super U</x:v>
      </x:c>
      <x:c r="Q176" s="57" t="n">
        <x:f>IF(P176="Lidl",K176,IF(P176="Super U",L176,IF(P176="Carrefour",M176,IF(P176="Auchan",N176,O176))))</x:f>
        <x:v>17.172</x:v>
      </x:c>
      <x:c r="R176" s="57" t="n">
        <x:f>Q176/'Hypothèses &amp; sources'!$B$4</x:f>
        <x:v>4.293</x:v>
      </x:c>
      <x:c r="S176" s="56" t="n">
        <x:f>MAX(0,'Hypothèses &amp; sources'!$B$5*MAX(0,MIN(100,'Hypothèses &amp; sources'!$B$10-R176*'Hypothèses &amp; sources'!$B$9))+'Hypothèses &amp; sources'!$B$6*(G176/5*100)+'Hypothèses &amp; sources'!$B$7*(H176/5*100)+'Hypothèses &amp; sources'!$B$8*MAX(0,MIN(100,'Hypothèses &amp; sources'!$B$12-E176*'Hypothèses &amp; sources'!$B$11))-T176)</x:f>
        <x:v>62.403279999999995</x:v>
      </x:c>
      <x:c r="T176" s="33" t="n">
        <x:v>0</x:v>
      </x:c>
    </x:row>
    <x:row r="177">
      <x:c r="A177" s="33" t="n">
        <x:v>173</x:v>
      </x:c>
      <x:c r="B177" s="38" t="str">
        <x:v>Pot roast</x:v>
      </x:c>
      <x:c r="C177" s="38" t="str">
        <x:v>Mijoté / bœuf</x:v>
      </x:c>
      <x:c r="D177" s="38" t="str">
        <x:v>rôti de bœuf, pommes de terre, carottes, oignon, bouillon</x:v>
      </x:c>
      <x:c r="E177" s="33" t="n">
        <x:v>20</x:v>
      </x:c>
      <x:c r="F177" s="33" t="n">
        <x:v>90</x:v>
      </x:c>
      <x:c r="G177" s="56" t="n">
        <x:v>4.8</x:v>
      </x:c>
      <x:c r="H177" s="56" t="n">
        <x:v>4</x:v>
      </x:c>
      <x:c r="I177" s="33" t="n">
        <x:v>0</x:v>
      </x:c>
      <x:c r="J177" s="57" t="n">
        <x:v>18</x:v>
      </x:c>
      <x:c r="K177" s="57" t="n">
        <x:f>J177*'Hypothèses &amp; sources'!$E$4</x:f>
        <x:v>18</x:v>
      </x:c>
      <x:c r="L177" s="57" t="n">
        <x:f>J177*'Hypothèses &amp; sources'!$F$4</x:f>
        <x:v>19.080000000000002</x:v>
      </x:c>
      <x:c r="M177" s="57" t="n">
        <x:f>J177*'Hypothèses &amp; sources'!$G$4</x:f>
        <x:v>19.8</x:v>
      </x:c>
      <x:c r="N177" s="57" t="n">
        <x:f>J177*'Hypothèses &amp; sources'!$H$4</x:f>
        <x:v>19.98</x:v>
      </x:c>
      <x:c r="O177" s="57" t="n">
        <x:f>J177*'Hypothèses &amp; sources'!$I$4</x:f>
        <x:v>22.32</x:v>
      </x:c>
      <x:c r="P177" s="57" t="str">
        <x:v>Lidl</x:v>
      </x:c>
      <x:c r="Q177" s="57" t="n">
        <x:f>IF(P177="Lidl",K177,IF(P177="Super U",L177,IF(P177="Carrefour",M177,IF(P177="Auchan",N177,O177))))</x:f>
        <x:v>18</x:v>
      </x:c>
      <x:c r="R177" s="57" t="n">
        <x:f>Q177/'Hypothèses &amp; sources'!$B$4</x:f>
        <x:v>4.5</x:v>
      </x:c>
      <x:c r="S177" s="56" t="n">
        <x:f>MAX(0,'Hypothèses &amp; sources'!$B$5*MAX(0,MIN(100,'Hypothèses &amp; sources'!$B$10-R177*'Hypothèses &amp; sources'!$B$9))+'Hypothèses &amp; sources'!$B$6*(G177/5*100)+'Hypothèses &amp; sources'!$B$7*(H177/5*100)+'Hypothèses &amp; sources'!$B$8*MAX(0,MIN(100,'Hypothèses &amp; sources'!$B$12-E177*'Hypothèses &amp; sources'!$B$11))-T177)</x:f>
        <x:v>72.72000000000001</x:v>
      </x:c>
      <x:c r="T177" s="33" t="n">
        <x:v>0</x:v>
      </x:c>
    </x:row>
    <x:row r="178">
      <x:c r="A178" s="33" t="n">
        <x:v>174</x:v>
      </x:c>
      <x:c r="B178" s="38" t="str">
        <x:v>Roti de boeuf en cocotte la double moutarde et aux cornichons à l'aneth</x:v>
      </x:c>
      <x:c r="C178" s="38" t="str">
        <x:v>Plat complet</x:v>
      </x:c>
      <x:c r="D178" s="38" t="str">
        <x:v>maïs, rôti / pièce de bœuf, moutarde</x:v>
      </x:c>
      <x:c r="E178" s="33" t="n">
        <x:v>20</x:v>
      </x:c>
      <x:c r="F178" s="33" t="n">
        <x:v>90</x:v>
      </x:c>
      <x:c r="G178" s="56" t="n">
        <x:v>4</x:v>
      </x:c>
      <x:c r="H178" s="56" t="n">
        <x:v>3.1</x:v>
      </x:c>
      <x:c r="I178" s="33" t="n">
        <x:v>0</x:v>
      </x:c>
      <x:c r="J178" s="57" t="n">
        <x:v>18.1</x:v>
      </x:c>
      <x:c r="K178" s="57" t="n">
        <x:f>J178*'Hypothèses &amp; sources'!$E$4</x:f>
        <x:v>18.1</x:v>
      </x:c>
      <x:c r="L178" s="57" t="n">
        <x:f>J178*'Hypothèses &amp; sources'!$F$4</x:f>
        <x:v>19.186000000000003</x:v>
      </x:c>
      <x:c r="M178" s="57" t="n">
        <x:f>J178*'Hypothèses &amp; sources'!$G$4</x:f>
        <x:v>19.910000000000004</x:v>
      </x:c>
      <x:c r="N178" s="57" t="n">
        <x:f>J178*'Hypothèses &amp; sources'!$H$4</x:f>
        <x:v>20.091000000000005</x:v>
      </x:c>
      <x:c r="O178" s="57" t="n">
        <x:f>J178*'Hypothèses &amp; sources'!$I$4</x:f>
        <x:v>22.444000000000003</x:v>
      </x:c>
      <x:c r="P178" s="57" t="str">
        <x:v>Lidl</x:v>
      </x:c>
      <x:c r="Q178" s="57" t="n">
        <x:f>IF(P178="Lidl",K178,IF(P178="Super U",L178,IF(P178="Carrefour",M178,IF(P178="Auchan",N178,O178))))</x:f>
        <x:v>18.1</x:v>
      </x:c>
      <x:c r="R178" s="57" t="n">
        <x:f>Q178/'Hypothèses &amp; sources'!$B$4</x:f>
        <x:v>4.525</x:v>
      </x:c>
      <x:c r="S178" s="56" t="n">
        <x:f>MAX(0,'Hypothèses &amp; sources'!$B$5*MAX(0,MIN(100,'Hypothèses &amp; sources'!$B$10-R178*'Hypothèses &amp; sources'!$B$9))+'Hypothèses &amp; sources'!$B$6*(G178/5*100)+'Hypothèses &amp; sources'!$B$7*(H178/5*100)+'Hypothèses &amp; sources'!$B$8*MAX(0,MIN(100,'Hypothèses &amp; sources'!$B$12-E178*'Hypothèses &amp; sources'!$B$11))-T178)</x:f>
        <x:v>64.874</x:v>
      </x:c>
      <x:c r="T178" s="33" t="n">
        <x:v>0</x:v>
      </x:c>
    </x:row>
    <x:row r="179">
      <x:c r="A179" s="33" t="n">
        <x:v>175</x:v>
      </x:c>
      <x:c r="B179" s="38" t="str">
        <x:v>Creamy shrimp soup</x:v>
      </x:c>
      <x:c r="C179" s="38" t="str">
        <x:v>Soupe / bouillon</x:v>
      </x:c>
      <x:c r="D179" s="38" t="str">
        <x:v>bouillon, oignon, crevettes, crème / fromage, légumes</x:v>
      </x:c>
      <x:c r="E179" s="33" t="n">
        <x:v>15</x:v>
      </x:c>
      <x:c r="F179" s="33" t="n">
        <x:v>35</x:v>
      </x:c>
      <x:c r="G179" s="56" t="n">
        <x:v>3.5</x:v>
      </x:c>
      <x:c r="H179" s="56" t="n">
        <x:v>3.8</x:v>
      </x:c>
      <x:c r="I179" s="33" t="n">
        <x:v>1</x:v>
      </x:c>
      <x:c r="J179" s="57" t="n">
        <x:v>17.2</x:v>
      </x:c>
      <x:c r="K179" s="57" t="n">
        <x:f>J179*'Hypothèses &amp; sources'!$E$4</x:f>
        <x:v>17.2</x:v>
      </x:c>
      <x:c r="L179" s="57" t="n">
        <x:f>J179*'Hypothèses &amp; sources'!$F$4</x:f>
        <x:v>18.232</x:v>
      </x:c>
      <x:c r="M179" s="57" t="n">
        <x:f>J179*'Hypothèses &amp; sources'!$G$4</x:f>
        <x:v>18.92</x:v>
      </x:c>
      <x:c r="N179" s="57" t="n">
        <x:f>J179*'Hypothèses &amp; sources'!$H$4</x:f>
        <x:v>19.092000000000002</x:v>
      </x:c>
      <x:c r="O179" s="57" t="n">
        <x:f>J179*'Hypothèses &amp; sources'!$I$4</x:f>
        <x:v>21.328</x:v>
      </x:c>
      <x:c r="P179" s="57" t="str">
        <x:v>Super U</x:v>
      </x:c>
      <x:c r="Q179" s="57" t="n">
        <x:f>IF(P179="Lidl",K179,IF(P179="Super U",L179,IF(P179="Carrefour",M179,IF(P179="Auchan",N179,O179))))</x:f>
        <x:v>18.232</x:v>
      </x:c>
      <x:c r="R179" s="57" t="n">
        <x:f>Q179/'Hypothèses &amp; sources'!$B$4</x:f>
        <x:v>4.558</x:v>
      </x:c>
      <x:c r="S179" s="56" t="n">
        <x:f>MAX(0,'Hypothèses &amp; sources'!$B$5*MAX(0,MIN(100,'Hypothèses &amp; sources'!$B$10-R179*'Hypothèses &amp; sources'!$B$9))+'Hypothèses &amp; sources'!$B$6*(G179/5*100)+'Hypothèses &amp; sources'!$B$7*(H179/5*100)+'Hypothèses &amp; sources'!$B$8*MAX(0,MIN(100,'Hypothèses &amp; sources'!$B$12-E179*'Hypothèses &amp; sources'!$B$11))-T179)</x:f>
        <x:v>65.74768</x:v>
      </x:c>
      <x:c r="T179" s="33" t="n">
        <x:v>0</x:v>
      </x:c>
    </x:row>
    <x:row r="180">
      <x:c r="A180" s="33" t="n">
        <x:v>176</x:v>
      </x:c>
      <x:c r="B180" s="38" t="str">
        <x:v>Jambalaya</x:v>
      </x:c>
      <x:c r="C180" s="38" t="str">
        <x:v>Riz / plat complet</x:v>
      </x:c>
      <x:c r="D180" s="38" t="str">
        <x:v>riz, poulet, saucisse, crevettes, tomate, céleri, poivron</x:v>
      </x:c>
      <x:c r="E180" s="33" t="n">
        <x:v>25</x:v>
      </x:c>
      <x:c r="F180" s="33" t="n">
        <x:v>50</x:v>
      </x:c>
      <x:c r="G180" s="56" t="n">
        <x:v>4.8</x:v>
      </x:c>
      <x:c r="H180" s="56" t="n">
        <x:v>4</x:v>
      </x:c>
      <x:c r="I180" s="33" t="n">
        <x:v>1</x:v>
      </x:c>
      <x:c r="J180" s="57" t="n">
        <x:v>17.5</x:v>
      </x:c>
      <x:c r="K180" s="57" t="n">
        <x:f>J180*'Hypothèses &amp; sources'!$E$4</x:f>
        <x:v>17.5</x:v>
      </x:c>
      <x:c r="L180" s="57" t="n">
        <x:f>J180*'Hypothèses &amp; sources'!$F$4</x:f>
        <x:v>18.55</x:v>
      </x:c>
      <x:c r="M180" s="57" t="n">
        <x:f>J180*'Hypothèses &amp; sources'!$G$4</x:f>
        <x:v>19.25</x:v>
      </x:c>
      <x:c r="N180" s="57" t="n">
        <x:f>J180*'Hypothèses &amp; sources'!$H$4</x:f>
        <x:v>19.425</x:v>
      </x:c>
      <x:c r="O180" s="57" t="n">
        <x:f>J180*'Hypothèses &amp; sources'!$I$4</x:f>
        <x:v>21.7</x:v>
      </x:c>
      <x:c r="P180" s="57" t="str">
        <x:v>Super U</x:v>
      </x:c>
      <x:c r="Q180" s="57" t="n">
        <x:f>IF(P180="Lidl",K180,IF(P180="Super U",L180,IF(P180="Carrefour",M180,IF(P180="Auchan",N180,O180))))</x:f>
        <x:v>18.55</x:v>
      </x:c>
      <x:c r="R180" s="57" t="n">
        <x:f>Q180/'Hypothèses &amp; sources'!$B$4</x:f>
        <x:v>4.6375</x:v>
      </x:c>
      <x:c r="S180" s="56" t="n">
        <x:f>MAX(0,'Hypothèses &amp; sources'!$B$5*MAX(0,MIN(100,'Hypothèses &amp; sources'!$B$10-R180*'Hypothèses &amp; sources'!$B$9))+'Hypothèses &amp; sources'!$B$6*(G180/5*100)+'Hypothèses &amp; sources'!$B$7*(H180/5*100)+'Hypothèses &amp; sources'!$B$8*MAX(0,MIN(100,'Hypothèses &amp; sources'!$B$12-E180*'Hypothèses &amp; sources'!$B$11))-T180)</x:f>
        <x:v>70.707</x:v>
      </x:c>
      <x:c r="T180" s="33" t="n">
        <x:v>0</x:v>
      </x:c>
    </x:row>
    <x:row r="181">
      <x:c r="A181" s="33" t="n">
        <x:v>177</x:v>
      </x:c>
      <x:c r="B181" s="38" t="str">
        <x:v>Brisket with gravy</x:v>
      </x:c>
      <x:c r="C181" s="38" t="str">
        <x:v>Plat complet</x:v>
      </x:c>
      <x:c r="D181" s="38" t="str">
        <x:v>poitrine de bœuf / brisket</x:v>
      </x:c>
      <x:c r="E181" s="33" t="n">
        <x:v>20</x:v>
      </x:c>
      <x:c r="F181" s="33" t="n">
        <x:v>90</x:v>
      </x:c>
      <x:c r="G181" s="56" t="n">
        <x:v>4.1</x:v>
      </x:c>
      <x:c r="H181" s="56" t="n">
        <x:v>3.1</x:v>
      </x:c>
      <x:c r="I181" s="33" t="n">
        <x:v>1</x:v>
      </x:c>
      <x:c r="J181" s="57" t="n">
        <x:v>17.9</x:v>
      </x:c>
      <x:c r="K181" s="57" t="n">
        <x:f>J181*'Hypothèses &amp; sources'!$E$4</x:f>
        <x:v>17.9</x:v>
      </x:c>
      <x:c r="L181" s="57" t="n">
        <x:f>J181*'Hypothèses &amp; sources'!$F$4</x:f>
        <x:v>18.974</x:v>
      </x:c>
      <x:c r="M181" s="57" t="n">
        <x:f>J181*'Hypothèses &amp; sources'!$G$4</x:f>
        <x:v>19.69</x:v>
      </x:c>
      <x:c r="N181" s="57" t="n">
        <x:f>J181*'Hypothèses &amp; sources'!$H$4</x:f>
        <x:v>19.869</x:v>
      </x:c>
      <x:c r="O181" s="57" t="n">
        <x:f>J181*'Hypothèses &amp; sources'!$I$4</x:f>
        <x:v>22.195999999999998</x:v>
      </x:c>
      <x:c r="P181" s="57" t="str">
        <x:v>Super U</x:v>
      </x:c>
      <x:c r="Q181" s="57" t="n">
        <x:f>IF(P181="Lidl",K181,IF(P181="Super U",L181,IF(P181="Carrefour",M181,IF(P181="Auchan",N181,O181))))</x:f>
        <x:v>18.974</x:v>
      </x:c>
      <x:c r="R181" s="57" t="n">
        <x:f>Q181/'Hypothèses &amp; sources'!$B$4</x:f>
        <x:v>4.7435</x:v>
      </x:c>
      <x:c r="S181" s="56" t="n">
        <x:f>MAX(0,'Hypothèses &amp; sources'!$B$5*MAX(0,MIN(100,'Hypothèses &amp; sources'!$B$10-R181*'Hypothèses &amp; sources'!$B$9))+'Hypothèses &amp; sources'!$B$6*(G181/5*100)+'Hypothèses &amp; sources'!$B$7*(H181/5*100)+'Hypothèses &amp; sources'!$B$8*MAX(0,MIN(100,'Hypothèses &amp; sources'!$B$12-E181*'Hypothèses &amp; sources'!$B$11))-T181)</x:f>
        <x:v>64.33276000000001</x:v>
      </x:c>
      <x:c r="T181" s="33" t="n">
        <x:v>0</x:v>
      </x:c>
    </x:row>
    <x:row r="182">
      <x:c r="A182" s="33" t="n">
        <x:v>178</x:v>
      </x:c>
      <x:c r="B182" s="38" t="str">
        <x:v>Wine-braised pulled beef</x:v>
      </x:c>
      <x:c r="C182" s="38" t="str">
        <x:v>Mijoté / curry</x:v>
      </x:c>
      <x:c r="D182" s="38" t="str">
        <x:v>oignon, bouillon, épices, rôti / pièce de bœuf, légumes</x:v>
      </x:c>
      <x:c r="E182" s="33" t="n">
        <x:v>25</x:v>
      </x:c>
      <x:c r="F182" s="33" t="n">
        <x:v>90</x:v>
      </x:c>
      <x:c r="G182" s="56" t="n">
        <x:v>4.4</x:v>
      </x:c>
      <x:c r="H182" s="56" t="n">
        <x:v>3.3</x:v>
      </x:c>
      <x:c r="I182" s="33" t="n">
        <x:v>0</x:v>
      </x:c>
      <x:c r="J182" s="57" t="n">
        <x:v>19</x:v>
      </x:c>
      <x:c r="K182" s="57" t="n">
        <x:f>J182*'Hypothèses &amp; sources'!$E$4</x:f>
        <x:v>19</x:v>
      </x:c>
      <x:c r="L182" s="57" t="n">
        <x:f>J182*'Hypothèses &amp; sources'!$F$4</x:f>
        <x:v>20.14</x:v>
      </x:c>
      <x:c r="M182" s="57" t="n">
        <x:f>J182*'Hypothèses &amp; sources'!$G$4</x:f>
        <x:v>20.900000000000002</x:v>
      </x:c>
      <x:c r="N182" s="57" t="n">
        <x:f>J182*'Hypothèses &amp; sources'!$H$4</x:f>
        <x:v>21.090000000000003</x:v>
      </x:c>
      <x:c r="O182" s="57" t="n">
        <x:f>J182*'Hypothèses &amp; sources'!$I$4</x:f>
        <x:v>23.56</x:v>
      </x:c>
      <x:c r="P182" s="57" t="str">
        <x:v>Lidl</x:v>
      </x:c>
      <x:c r="Q182" s="57" t="n">
        <x:f>IF(P182="Lidl",K182,IF(P182="Super U",L182,IF(P182="Carrefour",M182,IF(P182="Auchan",N182,O182))))</x:f>
        <x:v>19</x:v>
      </x:c>
      <x:c r="R182" s="57" t="n">
        <x:f>Q182/'Hypothèses &amp; sources'!$B$4</x:f>
        <x:v>4.75</x:v>
      </x:c>
      <x:c r="S182" s="56" t="n">
        <x:f>MAX(0,'Hypothèses &amp; sources'!$B$5*MAX(0,MIN(100,'Hypothèses &amp; sources'!$B$10-R182*'Hypothèses &amp; sources'!$B$9))+'Hypothèses &amp; sources'!$B$6*(G182/5*100)+'Hypothèses &amp; sources'!$B$7*(H182/5*100)+'Hypothèses &amp; sources'!$B$8*MAX(0,MIN(100,'Hypothèses &amp; sources'!$B$12-E182*'Hypothèses &amp; sources'!$B$11))-T182)</x:f>
        <x:v>65.38</x:v>
      </x:c>
      <x:c r="T182" s="33" t="n">
        <x:v>0</x:v>
      </x:c>
    </x:row>
    <x:row r="183">
      <x:c r="A183" s="33" t="n">
        <x:v>179</x:v>
      </x:c>
      <x:c r="B183" s="38" t="str">
        <x:v>Lamb pilaf/plov</x:v>
      </x:c>
      <x:c r="C183" s="38" t="str">
        <x:v>Plat complet</x:v>
      </x:c>
      <x:c r="D183" s="38" t="str">
        <x:v>riz, agneau / mouton</x:v>
      </x:c>
      <x:c r="E183" s="33" t="n">
        <x:v>20</x:v>
      </x:c>
      <x:c r="F183" s="33" t="n">
        <x:v>40</x:v>
      </x:c>
      <x:c r="G183" s="56" t="n">
        <x:v>4.4</x:v>
      </x:c>
      <x:c r="H183" s="56" t="n">
        <x:v>3.1</x:v>
      </x:c>
      <x:c r="I183" s="33" t="n">
        <x:v>1</x:v>
      </x:c>
      <x:c r="J183" s="57" t="n">
        <x:v>18.3</x:v>
      </x:c>
      <x:c r="K183" s="57" t="n">
        <x:f>J183*'Hypothèses &amp; sources'!$E$4</x:f>
        <x:v>18.3</x:v>
      </x:c>
      <x:c r="L183" s="57" t="n">
        <x:f>J183*'Hypothèses &amp; sources'!$F$4</x:f>
        <x:v>19.398000000000003</x:v>
      </x:c>
      <x:c r="M183" s="57" t="n">
        <x:f>J183*'Hypothèses &amp; sources'!$G$4</x:f>
        <x:v>20.130000000000003</x:v>
      </x:c>
      <x:c r="N183" s="57" t="n">
        <x:f>J183*'Hypothèses &amp; sources'!$H$4</x:f>
        <x:v>20.313000000000002</x:v>
      </x:c>
      <x:c r="O183" s="57" t="n">
        <x:f>J183*'Hypothèses &amp; sources'!$I$4</x:f>
        <x:v>22.692</x:v>
      </x:c>
      <x:c r="P183" s="57" t="str">
        <x:v>Super U</x:v>
      </x:c>
      <x:c r="Q183" s="57" t="n">
        <x:f>IF(P183="Lidl",K183,IF(P183="Super U",L183,IF(P183="Carrefour",M183,IF(P183="Auchan",N183,O183))))</x:f>
        <x:v>19.398000000000003</x:v>
      </x:c>
      <x:c r="R183" s="57" t="n">
        <x:f>Q183/'Hypothèses &amp; sources'!$B$4</x:f>
        <x:v>4.849500000000001</x:v>
      </x:c>
      <x:c r="S183" s="56" t="n">
        <x:f>MAX(0,'Hypothèses &amp; sources'!$B$5*MAX(0,MIN(100,'Hypothèses &amp; sources'!$B$10-R183*'Hypothèses &amp; sources'!$B$9))+'Hypothèses &amp; sources'!$B$6*(G183/5*100)+'Hypothèses &amp; sources'!$B$7*(H183/5*100)+'Hypothèses &amp; sources'!$B$8*MAX(0,MIN(100,'Hypothèses &amp; sources'!$B$12-E183*'Hypothèses &amp; sources'!$B$11))-T183)</x:f>
        <x:v>65.47852</x:v>
      </x:c>
      <x:c r="T183" s="33" t="n">
        <x:v>0</x:v>
      </x:c>
    </x:row>
    <x:row r="184">
      <x:c r="A184" s="33" t="n">
        <x:v>180</x:v>
      </x:c>
      <x:c r="B184" s="38" t="str">
        <x:v>Ragout d'agneau du moyen-orient</x:v>
      </x:c>
      <x:c r="C184" s="38" t="str">
        <x:v>Mijoté / curry</x:v>
      </x:c>
      <x:c r="D184" s="38" t="str">
        <x:v>oignon, bouillon, épices, agneau / mouton, légumes</x:v>
      </x:c>
      <x:c r="E184" s="33" t="n">
        <x:v>25</x:v>
      </x:c>
      <x:c r="F184" s="33" t="n">
        <x:v>75</x:v>
      </x:c>
      <x:c r="G184" s="56" t="n">
        <x:v>4.4</x:v>
      </x:c>
      <x:c r="H184" s="56" t="n">
        <x:v>3.3</x:v>
      </x:c>
      <x:c r="I184" s="33" t="n">
        <x:v>1</x:v>
      </x:c>
      <x:c r="J184" s="57" t="n">
        <x:v>20.5</x:v>
      </x:c>
      <x:c r="K184" s="57" t="n">
        <x:f>J184*'Hypothèses &amp; sources'!$E$4</x:f>
        <x:v>20.5</x:v>
      </x:c>
      <x:c r="L184" s="57" t="n">
        <x:f>J184*'Hypothèses &amp; sources'!$F$4</x:f>
        <x:v>21.73</x:v>
      </x:c>
      <x:c r="M184" s="57" t="n">
        <x:f>J184*'Hypothèses &amp; sources'!$G$4</x:f>
        <x:v>22.55</x:v>
      </x:c>
      <x:c r="N184" s="57" t="n">
        <x:f>J184*'Hypothèses &amp; sources'!$H$4</x:f>
        <x:v>22.755000000000003</x:v>
      </x:c>
      <x:c r="O184" s="57" t="n">
        <x:f>J184*'Hypothèses &amp; sources'!$I$4</x:f>
        <x:v>25.419999999999998</x:v>
      </x:c>
      <x:c r="P184" s="57" t="str">
        <x:v>Super U</x:v>
      </x:c>
      <x:c r="Q184" s="57" t="n">
        <x:f>IF(P184="Lidl",K184,IF(P184="Super U",L184,IF(P184="Carrefour",M184,IF(P184="Auchan",N184,O184))))</x:f>
        <x:v>21.73</x:v>
      </x:c>
      <x:c r="R184" s="57" t="n">
        <x:f>Q184/'Hypothèses &amp; sources'!$B$4</x:f>
        <x:v>5.4325</x:v>
      </x:c>
      <x:c r="S184" s="56" t="n">
        <x:f>MAX(0,'Hypothèses &amp; sources'!$B$5*MAX(0,MIN(100,'Hypothèses &amp; sources'!$B$10-R184*'Hypothèses &amp; sources'!$B$9))+'Hypothèses &amp; sources'!$B$6*(G184/5*100)+'Hypothèses &amp; sources'!$B$7*(H184/5*100)+'Hypothèses &amp; sources'!$B$8*MAX(0,MIN(100,'Hypothèses &amp; sources'!$B$12-E184*'Hypothèses &amp; sources'!$B$11))-T184)</x:f>
        <x:v>61.940200000000004</x:v>
      </x:c>
      <x:c r="T184" s="33" t="n">
        <x:v>0</x:v>
      </x:c>
    </x:row>
    <x:row r="185">
      <x:c r="A185" s="33" t="n">
        <x:v>181</x:v>
      </x:c>
      <x:c r="B185" s="38" t="str">
        <x:v>Venison roast</x:v>
      </x:c>
      <x:c r="C185" s="38" t="str">
        <x:v>Plat complet</x:v>
      </x:c>
      <x:c r="D185" s="38" t="str">
        <x:v>venaison</x:v>
      </x:c>
      <x:c r="E185" s="33" t="n">
        <x:v>20</x:v>
      </x:c>
      <x:c r="F185" s="33" t="n">
        <x:v>90</x:v>
      </x:c>
      <x:c r="G185" s="56" t="n">
        <x:v>3.9</x:v>
      </x:c>
      <x:c r="H185" s="56" t="n">
        <x:v>3.5</x:v>
      </x:c>
      <x:c r="I185" s="33" t="n">
        <x:v>2</x:v>
      </x:c>
      <x:c r="J185" s="57" t="n">
        <x:v>19.9</x:v>
      </x:c>
      <x:c r="K185" s="57" t="n">
        <x:f>J185*'Hypothèses &amp; sources'!$E$4</x:f>
        <x:v>19.9</x:v>
      </x:c>
      <x:c r="L185" s="57" t="n">
        <x:f>J185*'Hypothèses &amp; sources'!$F$4</x:f>
        <x:v>21.094</x:v>
      </x:c>
      <x:c r="M185" s="57" t="n">
        <x:f>J185*'Hypothèses &amp; sources'!$G$4</x:f>
        <x:v>21.89</x:v>
      </x:c>
      <x:c r="N185" s="57" t="n">
        <x:f>J185*'Hypothèses &amp; sources'!$H$4</x:f>
        <x:v>22.089</x:v>
      </x:c>
      <x:c r="O185" s="57" t="n">
        <x:f>J185*'Hypothèses &amp; sources'!$I$4</x:f>
        <x:v>24.676</x:v>
      </x:c>
      <x:c r="P185" s="57" t="str">
        <x:v>Carrefour</x:v>
      </x:c>
      <x:c r="Q185" s="57" t="n">
        <x:f>IF(P185="Lidl",K185,IF(P185="Super U",L185,IF(P185="Carrefour",M185,IF(P185="Auchan",N185,O185))))</x:f>
        <x:v>21.89</x:v>
      </x:c>
      <x:c r="R185" s="57" t="n">
        <x:f>Q185/'Hypothèses &amp; sources'!$B$4</x:f>
        <x:v>5.4725</x:v>
      </x:c>
      <x:c r="S185" s="56" t="n">
        <x:f>MAX(0,'Hypothèses &amp; sources'!$B$5*MAX(0,MIN(100,'Hypothèses &amp; sources'!$B$10-R185*'Hypothèses &amp; sources'!$B$9))+'Hypothèses &amp; sources'!$B$6*(G185/5*100)+'Hypothèses &amp; sources'!$B$7*(H185/5*100)+'Hypothèses &amp; sources'!$B$8*MAX(0,MIN(100,'Hypothèses &amp; sources'!$B$12-E185*'Hypothèses &amp; sources'!$B$11))-T185)</x:f>
        <x:v>60.97860000000001</x:v>
      </x:c>
      <x:c r="T185" s="33" t="n">
        <x:v>0</x:v>
      </x:c>
    </x:row>
    <x:row r="186">
      <x:c r="A186" s="33" t="n">
        <x:v>182</x:v>
      </x:c>
      <x:c r="B186" s="38" t="str">
        <x:v>Curry d'agneau et au pomme de terre</x:v>
      </x:c>
      <x:c r="C186" s="38" t="str">
        <x:v>Curry / cuisine épicée</x:v>
      </x:c>
      <x:c r="D186" s="38" t="str">
        <x:v>oignon, ail, gingembre, épices, pommes de terre, agneau / mouton</x:v>
      </x:c>
      <x:c r="E186" s="33" t="n">
        <x:v>25</x:v>
      </x:c>
      <x:c r="F186" s="33" t="n">
        <x:v>55</x:v>
      </x:c>
      <x:c r="G186" s="56" t="n">
        <x:v>4.5</x:v>
      </x:c>
      <x:c r="H186" s="56" t="n">
        <x:v>3.1</x:v>
      </x:c>
      <x:c r="I186" s="33" t="n">
        <x:v>1</x:v>
      </x:c>
      <x:c r="J186" s="57" t="n">
        <x:v>20.7</x:v>
      </x:c>
      <x:c r="K186" s="57" t="n">
        <x:f>J186*'Hypothèses &amp; sources'!$E$4</x:f>
        <x:v>20.7</x:v>
      </x:c>
      <x:c r="L186" s="57" t="n">
        <x:f>J186*'Hypothèses &amp; sources'!$F$4</x:f>
        <x:v>21.942</x:v>
      </x:c>
      <x:c r="M186" s="57" t="n">
        <x:f>J186*'Hypothèses &amp; sources'!$G$4</x:f>
        <x:v>22.77</x:v>
      </x:c>
      <x:c r="N186" s="57" t="n">
        <x:f>J186*'Hypothèses &amp; sources'!$H$4</x:f>
        <x:v>22.977</x:v>
      </x:c>
      <x:c r="O186" s="57" t="n">
        <x:f>J186*'Hypothèses &amp; sources'!$I$4</x:f>
        <x:v>25.668</x:v>
      </x:c>
      <x:c r="P186" s="57" t="str">
        <x:v>Super U</x:v>
      </x:c>
      <x:c r="Q186" s="57" t="n">
        <x:f>IF(P186="Lidl",K186,IF(P186="Super U",L186,IF(P186="Carrefour",M186,IF(P186="Auchan",N186,O186))))</x:f>
        <x:v>21.942</x:v>
      </x:c>
      <x:c r="R186" s="57" t="n">
        <x:f>Q186/'Hypothèses &amp; sources'!$B$4</x:f>
        <x:v>5.4855</x:v>
      </x:c>
      <x:c r="S186" s="56" t="n">
        <x:f>MAX(0,'Hypothèses &amp; sources'!$B$5*MAX(0,MIN(100,'Hypothèses &amp; sources'!$B$10-R186*'Hypothèses &amp; sources'!$B$9))+'Hypothèses &amp; sources'!$B$6*(G186/5*100)+'Hypothèses &amp; sources'!$B$7*(H186/5*100)+'Hypothèses &amp; sources'!$B$8*MAX(0,MIN(100,'Hypothèses &amp; sources'!$B$12-E186*'Hypothèses &amp; sources'!$B$11))-T186)</x:f>
        <x:v>61.51308000000001</x:v>
      </x:c>
      <x:c r="T186" s="33" t="n">
        <x:v>0</x:v>
      </x:c>
    </x:row>
    <x:row r="187">
      <x:c r="A187" s="33" t="n">
        <x:v>183</x:v>
      </x:c>
      <x:c r="B187" s="38" t="str">
        <x:v>Biryani d’agneau dum</x:v>
      </x:c>
      <x:c r="C187" s="38" t="str">
        <x:v>Biryani / agneau</x:v>
      </x:c>
      <x:c r="D187" s="38" t="str">
        <x:v>agneau, riz basmati, yaourt, oignon, épices, herbes</x:v>
      </x:c>
      <x:c r="E187" s="33" t="n">
        <x:v>35</x:v>
      </x:c>
      <x:c r="F187" s="33" t="n">
        <x:v>90</x:v>
      </x:c>
      <x:c r="G187" s="56" t="n">
        <x:v>5</x:v>
      </x:c>
      <x:c r="H187" s="56" t="n">
        <x:v>3.8</x:v>
      </x:c>
      <x:c r="I187" s="33" t="n">
        <x:v>1</x:v>
      </x:c>
      <x:c r="J187" s="57" t="n">
        <x:v>21</x:v>
      </x:c>
      <x:c r="K187" s="57" t="n">
        <x:f>J187*'Hypothèses &amp; sources'!$E$4</x:f>
        <x:v>21</x:v>
      </x:c>
      <x:c r="L187" s="57" t="n">
        <x:f>J187*'Hypothèses &amp; sources'!$F$4</x:f>
        <x:v>22.26</x:v>
      </x:c>
      <x:c r="M187" s="57" t="n">
        <x:f>J187*'Hypothèses &amp; sources'!$G$4</x:f>
        <x:v>23.1</x:v>
      </x:c>
      <x:c r="N187" s="57" t="n">
        <x:f>J187*'Hypothèses &amp; sources'!$H$4</x:f>
        <x:v>23.310000000000002</x:v>
      </x:c>
      <x:c r="O187" s="57" t="n">
        <x:f>J187*'Hypothèses &amp; sources'!$I$4</x:f>
        <x:v>26.04</x:v>
      </x:c>
      <x:c r="P187" s="57" t="str">
        <x:v>Super U</x:v>
      </x:c>
      <x:c r="Q187" s="57" t="n">
        <x:f>IF(P187="Lidl",K187,IF(P187="Super U",L187,IF(P187="Carrefour",M187,IF(P187="Auchan",N187,O187))))</x:f>
        <x:v>22.26</x:v>
      </x:c>
      <x:c r="R187" s="57" t="n">
        <x:f>Q187/'Hypothèses &amp; sources'!$B$4</x:f>
        <x:v>5.565</x:v>
      </x:c>
      <x:c r="S187" s="56" t="n">
        <x:f>MAX(0,'Hypothèses &amp; sources'!$B$5*MAX(0,MIN(100,'Hypothèses &amp; sources'!$B$10-R187*'Hypothèses &amp; sources'!$B$9))+'Hypothèses &amp; sources'!$B$6*(G187/5*100)+'Hypothèses &amp; sources'!$B$7*(H187/5*100)+'Hypothèses &amp; sources'!$B$8*MAX(0,MIN(100,'Hypothèses &amp; sources'!$B$12-E187*'Hypothèses &amp; sources'!$B$11))-T187)</x:f>
        <x:v>63.7924</x:v>
      </x:c>
      <x:c r="T187" s="33" t="n">
        <x:v>0</x:v>
      </x:c>
    </x:row>
    <x:row r="188">
      <x:c r="A188" s="33" t="n">
        <x:v>184</x:v>
      </x:c>
      <x:c r="B188" s="38" t="str">
        <x:v>Spanish oxtail stew</x:v>
      </x:c>
      <x:c r="C188" s="38" t="str">
        <x:v>Mijoté / curry</x:v>
      </x:c>
      <x:c r="D188" s="38" t="str">
        <x:v>ail, oignon, bouillon, épices, queue de bœuf, légumes</x:v>
      </x:c>
      <x:c r="E188" s="33" t="n">
        <x:v>25</x:v>
      </x:c>
      <x:c r="F188" s="33" t="n">
        <x:v>90</x:v>
      </x:c>
      <x:c r="G188" s="56" t="n">
        <x:v>4.5</x:v>
      </x:c>
      <x:c r="H188" s="56" t="n">
        <x:v>3.3</x:v>
      </x:c>
      <x:c r="I188" s="33" t="n">
        <x:v>2</x:v>
      </x:c>
      <x:c r="J188" s="57" t="n">
        <x:v>20.5</x:v>
      </x:c>
      <x:c r="K188" s="57" t="n">
        <x:f>J188*'Hypothèses &amp; sources'!$E$4</x:f>
        <x:v>20.5</x:v>
      </x:c>
      <x:c r="L188" s="57" t="n">
        <x:f>J188*'Hypothèses &amp; sources'!$F$4</x:f>
        <x:v>21.73</x:v>
      </x:c>
      <x:c r="M188" s="57" t="n">
        <x:f>J188*'Hypothèses &amp; sources'!$G$4</x:f>
        <x:v>22.55</x:v>
      </x:c>
      <x:c r="N188" s="57" t="n">
        <x:f>J188*'Hypothèses &amp; sources'!$H$4</x:f>
        <x:v>22.755000000000003</x:v>
      </x:c>
      <x:c r="O188" s="57" t="n">
        <x:f>J188*'Hypothèses &amp; sources'!$I$4</x:f>
        <x:v>25.419999999999998</x:v>
      </x:c>
      <x:c r="P188" s="57" t="str">
        <x:v>Carrefour</x:v>
      </x:c>
      <x:c r="Q188" s="57" t="n">
        <x:f>IF(P188="Lidl",K188,IF(P188="Super U",L188,IF(P188="Carrefour",M188,IF(P188="Auchan",N188,O188))))</x:f>
        <x:v>22.55</x:v>
      </x:c>
      <x:c r="R188" s="57" t="n">
        <x:f>Q188/'Hypothèses &amp; sources'!$B$4</x:f>
        <x:v>5.6375</x:v>
      </x:c>
      <x:c r="S188" s="56" t="n">
        <x:f>MAX(0,'Hypothèses &amp; sources'!$B$5*MAX(0,MIN(100,'Hypothèses &amp; sources'!$B$10-R188*'Hypothèses &amp; sources'!$B$9))+'Hypothèses &amp; sources'!$B$6*(G188/5*100)+'Hypothèses &amp; sources'!$B$7*(H188/5*100)+'Hypothèses &amp; sources'!$B$8*MAX(0,MIN(100,'Hypothèses &amp; sources'!$B$12-E188*'Hypothèses &amp; sources'!$B$11))-T188)</x:f>
        <x:v>61.46699999999999</x:v>
      </x:c>
      <x:c r="T188" s="33" t="n">
        <x:v>0</x:v>
      </x:c>
    </x:row>
    <x:row r="189">
      <x:c r="A189" s="33" t="n">
        <x:v>185</x:v>
      </x:c>
      <x:c r="B189" s="38" t="str">
        <x:v>Biryani d'agneau</x:v>
      </x:c>
      <x:c r="C189" s="38" t="str">
        <x:v>Curry / cuisine épicée</x:v>
      </x:c>
      <x:c r="D189" s="38" t="str">
        <x:v>oignon, ail, gingembre, épices, riz, agneau / mouton, légumes</x:v>
      </x:c>
      <x:c r="E189" s="33" t="n">
        <x:v>25</x:v>
      </x:c>
      <x:c r="F189" s="33" t="n">
        <x:v>55</x:v>
      </x:c>
      <x:c r="G189" s="56" t="n">
        <x:v>4.4</x:v>
      </x:c>
      <x:c r="H189" s="56" t="n">
        <x:v>3.3</x:v>
      </x:c>
      <x:c r="I189" s="33" t="n">
        <x:v>1</x:v>
      </x:c>
      <x:c r="J189" s="57" t="n">
        <x:v>21.3</x:v>
      </x:c>
      <x:c r="K189" s="57" t="n">
        <x:f>J189*'Hypothèses &amp; sources'!$E$4</x:f>
        <x:v>21.3</x:v>
      </x:c>
      <x:c r="L189" s="57" t="n">
        <x:f>J189*'Hypothèses &amp; sources'!$F$4</x:f>
        <x:v>22.578000000000003</x:v>
      </x:c>
      <x:c r="M189" s="57" t="n">
        <x:f>J189*'Hypothèses &amp; sources'!$G$4</x:f>
        <x:v>23.430000000000003</x:v>
      </x:c>
      <x:c r="N189" s="57" t="n">
        <x:f>J189*'Hypothèses &amp; sources'!$H$4</x:f>
        <x:v>23.643000000000004</x:v>
      </x:c>
      <x:c r="O189" s="57" t="n">
        <x:f>J189*'Hypothèses &amp; sources'!$I$4</x:f>
        <x:v>26.412</x:v>
      </x:c>
      <x:c r="P189" s="57" t="str">
        <x:v>Super U</x:v>
      </x:c>
      <x:c r="Q189" s="57" t="n">
        <x:f>IF(P189="Lidl",K189,IF(P189="Super U",L189,IF(P189="Carrefour",M189,IF(P189="Auchan",N189,O189))))</x:f>
        <x:v>22.578000000000003</x:v>
      </x:c>
      <x:c r="R189" s="57" t="n">
        <x:f>Q189/'Hypothèses &amp; sources'!$B$4</x:f>
        <x:v>5.644500000000001</x:v>
      </x:c>
      <x:c r="S189" s="56" t="n">
        <x:f>MAX(0,'Hypothèses &amp; sources'!$B$5*MAX(0,MIN(100,'Hypothèses &amp; sources'!$B$10-R189*'Hypothèses &amp; sources'!$B$9))+'Hypothèses &amp; sources'!$B$6*(G189/5*100)+'Hypothèses &amp; sources'!$B$7*(H189/5*100)+'Hypothèses &amp; sources'!$B$8*MAX(0,MIN(100,'Hypothèses &amp; sources'!$B$12-E189*'Hypothèses &amp; sources'!$B$11))-T189)</x:f>
        <x:v>60.87172</x:v>
      </x:c>
      <x:c r="T189" s="33" t="n">
        <x:v>0</x:v>
      </x:c>
    </x:row>
    <x:row r="190">
      <x:c r="A190" s="33" t="n">
        <x:v>186</x:v>
      </x:c>
      <x:c r="B190" s="38" t="str">
        <x:v>Hyderabadi-style Mutton Biryani</x:v>
      </x:c>
      <x:c r="C190" s="38" t="str">
        <x:v>Curry / cuisine épicée</x:v>
      </x:c>
      <x:c r="D190" s="38" t="str">
        <x:v>oignon, ail, gingembre, épices, riz, agneau / mouton, légumes</x:v>
      </x:c>
      <x:c r="E190" s="33" t="n">
        <x:v>25</x:v>
      </x:c>
      <x:c r="F190" s="33" t="n">
        <x:v>55</x:v>
      </x:c>
      <x:c r="G190" s="56" t="n">
        <x:v>4.4</x:v>
      </x:c>
      <x:c r="H190" s="56" t="n">
        <x:v>3.3</x:v>
      </x:c>
      <x:c r="I190" s="33" t="n">
        <x:v>1</x:v>
      </x:c>
      <x:c r="J190" s="57" t="n">
        <x:v>21.3</x:v>
      </x:c>
      <x:c r="K190" s="57" t="n">
        <x:f>J190*'Hypothèses &amp; sources'!$E$4</x:f>
        <x:v>21.3</x:v>
      </x:c>
      <x:c r="L190" s="57" t="n">
        <x:f>J190*'Hypothèses &amp; sources'!$F$4</x:f>
        <x:v>22.578000000000003</x:v>
      </x:c>
      <x:c r="M190" s="57" t="n">
        <x:f>J190*'Hypothèses &amp; sources'!$G$4</x:f>
        <x:v>23.430000000000003</x:v>
      </x:c>
      <x:c r="N190" s="57" t="n">
        <x:f>J190*'Hypothèses &amp; sources'!$H$4</x:f>
        <x:v>23.643000000000004</x:v>
      </x:c>
      <x:c r="O190" s="57" t="n">
        <x:f>J190*'Hypothèses &amp; sources'!$I$4</x:f>
        <x:v>26.412</x:v>
      </x:c>
      <x:c r="P190" s="57" t="str">
        <x:v>Super U</x:v>
      </x:c>
      <x:c r="Q190" s="57" t="n">
        <x:f>IF(P190="Lidl",K190,IF(P190="Super U",L190,IF(P190="Carrefour",M190,IF(P190="Auchan",N190,O190))))</x:f>
        <x:v>22.578000000000003</x:v>
      </x:c>
      <x:c r="R190" s="57" t="n">
        <x:f>Q190/'Hypothèses &amp; sources'!$B$4</x:f>
        <x:v>5.644500000000001</x:v>
      </x:c>
      <x:c r="S190" s="56" t="n">
        <x:f>MAX(0,'Hypothèses &amp; sources'!$B$5*MAX(0,MIN(100,'Hypothèses &amp; sources'!$B$10-R190*'Hypothèses &amp; sources'!$B$9))+'Hypothèses &amp; sources'!$B$6*(G190/5*100)+'Hypothèses &amp; sources'!$B$7*(H190/5*100)+'Hypothèses &amp; sources'!$B$8*MAX(0,MIN(100,'Hypothèses &amp; sources'!$B$12-E190*'Hypothèses &amp; sources'!$B$11))-T190)</x:f>
        <x:v>60.87172</x:v>
      </x:c>
      <x:c r="T190" s="33" t="n">
        <x:v>0</x:v>
      </x:c>
    </x:row>
    <x:row r="191">
      <x:c r="A191" s="33" t="n">
        <x:v>187</x:v>
      </x:c>
      <x:c r="B191" s="38" t="str">
        <x:v>Jarrets d'agneau</x:v>
      </x:c>
      <x:c r="C191" s="38" t="str">
        <x:v>Plat complet</x:v>
      </x:c>
      <x:c r="D191" s="38" t="str">
        <x:v>jarrets d’agneau</x:v>
      </x:c>
      <x:c r="E191" s="33" t="n">
        <x:v>20</x:v>
      </x:c>
      <x:c r="F191" s="33" t="n">
        <x:v>90</x:v>
      </x:c>
      <x:c r="G191" s="56" t="n">
        <x:v>4</x:v>
      </x:c>
      <x:c r="H191" s="56" t="n">
        <x:v>3.1</x:v>
      </x:c>
      <x:c r="I191" s="33" t="n">
        <x:v>1</x:v>
      </x:c>
      <x:c r="J191" s="57" t="n">
        <x:v>20.9</x:v>
      </x:c>
      <x:c r="K191" s="57" t="n">
        <x:f>J191*'Hypothèses &amp; sources'!$E$4</x:f>
        <x:v>20.9</x:v>
      </x:c>
      <x:c r="L191" s="57" t="n">
        <x:f>J191*'Hypothèses &amp; sources'!$F$4</x:f>
        <x:v>22.154</x:v>
      </x:c>
      <x:c r="M191" s="57" t="n">
        <x:f>J191*'Hypothèses &amp; sources'!$G$4</x:f>
        <x:v>22.990000000000002</x:v>
      </x:c>
      <x:c r="N191" s="57" t="n">
        <x:f>J191*'Hypothèses &amp; sources'!$H$4</x:f>
        <x:v>23.199</x:v>
      </x:c>
      <x:c r="O191" s="57" t="n">
        <x:f>J191*'Hypothèses &amp; sources'!$I$4</x:f>
        <x:v>25.915999999999997</x:v>
      </x:c>
      <x:c r="P191" s="57" t="str">
        <x:v>Carrefour</x:v>
      </x:c>
      <x:c r="Q191" s="57" t="n">
        <x:f>IF(P191="Lidl",K191,IF(P191="Super U",L191,IF(P191="Carrefour",M191,IF(P191="Auchan",N191,O191))))</x:f>
        <x:v>22.990000000000002</x:v>
      </x:c>
      <x:c r="R191" s="57" t="n">
        <x:f>Q191/'Hypothèses &amp; sources'!$B$4</x:f>
        <x:v>5.7475000000000005</x:v>
      </x:c>
      <x:c r="S191" s="56" t="n">
        <x:f>MAX(0,'Hypothèses &amp; sources'!$B$5*MAX(0,MIN(100,'Hypothèses &amp; sources'!$B$10-R191*'Hypothèses &amp; sources'!$B$9))+'Hypothèses &amp; sources'!$B$6*(G191/5*100)+'Hypothèses &amp; sources'!$B$7*(H191/5*100)+'Hypothèses &amp; sources'!$B$8*MAX(0,MIN(100,'Hypothèses &amp; sources'!$B$12-E191*'Hypothèses &amp; sources'!$B$11))-T191)</x:f>
        <x:v>58.71260000000001</x:v>
      </x:c>
      <x:c r="T191" s="33" t="n">
        <x:v>0</x:v>
      </x:c>
    </x:row>
    <x:row r="192">
      <x:c r="A192" s="33" t="n">
        <x:v>188</x:v>
      </x:c>
      <x:c r="B192" s="38" t="str">
        <x:v>Lamb vindaloo</x:v>
      </x:c>
      <x:c r="C192" s="38" t="str">
        <x:v>Curry / cuisine épicée</x:v>
      </x:c>
      <x:c r="D192" s="38" t="str">
        <x:v>oignon, bouillon, épices, ail, gingembre, agneau / mouton, légumes</x:v>
      </x:c>
      <x:c r="E192" s="33" t="n">
        <x:v>25</x:v>
      </x:c>
      <x:c r="F192" s="33" t="n">
        <x:v>55</x:v>
      </x:c>
      <x:c r="G192" s="56" t="n">
        <x:v>4.4</x:v>
      </x:c>
      <x:c r="H192" s="56" t="n">
        <x:v>3.3</x:v>
      </x:c>
      <x:c r="I192" s="33" t="n">
        <x:v>1</x:v>
      </x:c>
      <x:c r="J192" s="57" t="n">
        <x:v>22</x:v>
      </x:c>
      <x:c r="K192" s="57" t="n">
        <x:f>J192*'Hypothèses &amp; sources'!$E$4</x:f>
        <x:v>22</x:v>
      </x:c>
      <x:c r="L192" s="57" t="n">
        <x:f>J192*'Hypothèses &amp; sources'!$F$4</x:f>
        <x:v>23.32</x:v>
      </x:c>
      <x:c r="M192" s="57" t="n">
        <x:f>J192*'Hypothèses &amp; sources'!$G$4</x:f>
        <x:v>24.200000000000003</x:v>
      </x:c>
      <x:c r="N192" s="57" t="n">
        <x:f>J192*'Hypothèses &amp; sources'!$H$4</x:f>
        <x:v>24.42</x:v>
      </x:c>
      <x:c r="O192" s="57" t="n">
        <x:f>J192*'Hypothèses &amp; sources'!$I$4</x:f>
        <x:v>27.28</x:v>
      </x:c>
      <x:c r="P192" s="57" t="str">
        <x:v>Super U</x:v>
      </x:c>
      <x:c r="Q192" s="57" t="n">
        <x:f>IF(P192="Lidl",K192,IF(P192="Super U",L192,IF(P192="Carrefour",M192,IF(P192="Auchan",N192,O192))))</x:f>
        <x:v>23.32</x:v>
      </x:c>
      <x:c r="R192" s="57" t="n">
        <x:f>Q192/'Hypothèses &amp; sources'!$B$4</x:f>
        <x:v>5.83</x:v>
      </x:c>
      <x:c r="S192" s="56" t="n">
        <x:f>MAX(0,'Hypothèses &amp; sources'!$B$5*MAX(0,MIN(100,'Hypothèses &amp; sources'!$B$10-R192*'Hypothèses &amp; sources'!$B$9))+'Hypothèses &amp; sources'!$B$6*(G192/5*100)+'Hypothèses &amp; sources'!$B$7*(H192/5*100)+'Hypothèses &amp; sources'!$B$8*MAX(0,MIN(100,'Hypothèses &amp; sources'!$B$12-E192*'Hypothèses &amp; sources'!$B$11))-T192)</x:f>
        <x:v>59.9368</x:v>
      </x:c>
      <x:c r="T192" s="33" t="n">
        <x:v>0</x:v>
      </x:c>
    </x:row>
    <x:row r="193">
      <x:c r="A193" s="33" t="n">
        <x:v>189</x:v>
      </x:c>
      <x:c r="B193" s="38" t="str">
        <x:v>Rogan josh/curry d'agneau</x:v>
      </x:c>
      <x:c r="C193" s="38" t="str">
        <x:v>Curry / cuisine épicée</x:v>
      </x:c>
      <x:c r="D193" s="38" t="str">
        <x:v>oignon, bouillon, épices, ail, gingembre, agneau / mouton, légumes</x:v>
      </x:c>
      <x:c r="E193" s="33" t="n">
        <x:v>25</x:v>
      </x:c>
      <x:c r="F193" s="33" t="n">
        <x:v>55</x:v>
      </x:c>
      <x:c r="G193" s="56" t="n">
        <x:v>4.4</x:v>
      </x:c>
      <x:c r="H193" s="56" t="n">
        <x:v>3.3</x:v>
      </x:c>
      <x:c r="I193" s="33" t="n">
        <x:v>1</x:v>
      </x:c>
      <x:c r="J193" s="57" t="n">
        <x:v>22</x:v>
      </x:c>
      <x:c r="K193" s="57" t="n">
        <x:f>J193*'Hypothèses &amp; sources'!$E$4</x:f>
        <x:v>22</x:v>
      </x:c>
      <x:c r="L193" s="57" t="n">
        <x:f>J193*'Hypothèses &amp; sources'!$F$4</x:f>
        <x:v>23.32</x:v>
      </x:c>
      <x:c r="M193" s="57" t="n">
        <x:f>J193*'Hypothèses &amp; sources'!$G$4</x:f>
        <x:v>24.200000000000003</x:v>
      </x:c>
      <x:c r="N193" s="57" t="n">
        <x:f>J193*'Hypothèses &amp; sources'!$H$4</x:f>
        <x:v>24.42</x:v>
      </x:c>
      <x:c r="O193" s="57" t="n">
        <x:f>J193*'Hypothèses &amp; sources'!$I$4</x:f>
        <x:v>27.28</x:v>
      </x:c>
      <x:c r="P193" s="57" t="str">
        <x:v>Super U</x:v>
      </x:c>
      <x:c r="Q193" s="57" t="n">
        <x:f>IF(P193="Lidl",K193,IF(P193="Super U",L193,IF(P193="Carrefour",M193,IF(P193="Auchan",N193,O193))))</x:f>
        <x:v>23.32</x:v>
      </x:c>
      <x:c r="R193" s="57" t="n">
        <x:f>Q193/'Hypothèses &amp; sources'!$B$4</x:f>
        <x:v>5.83</x:v>
      </x:c>
      <x:c r="S193" s="56" t="n">
        <x:f>MAX(0,'Hypothèses &amp; sources'!$B$5*MAX(0,MIN(100,'Hypothèses &amp; sources'!$B$10-R193*'Hypothèses &amp; sources'!$B$9))+'Hypothèses &amp; sources'!$B$6*(G193/5*100)+'Hypothèses &amp; sources'!$B$7*(H193/5*100)+'Hypothèses &amp; sources'!$B$8*MAX(0,MIN(100,'Hypothèses &amp; sources'!$B$12-E193*'Hypothèses &amp; sources'!$B$11))-T193)</x:f>
        <x:v>59.9368</x:v>
      </x:c>
      <x:c r="T193" s="33" t="n">
        <x:v>0</x:v>
      </x:c>
    </x:row>
    <x:row r="194">
      <x:c r="A194" s="33" t="n">
        <x:v>190</x:v>
      </x:c>
      <x:c r="B194" s="38" t="str">
        <x:v>Venison stew</x:v>
      </x:c>
      <x:c r="C194" s="38" t="str">
        <x:v>Mijoté / curry</x:v>
      </x:c>
      <x:c r="D194" s="38" t="str">
        <x:v>oignon, bouillon, épices, venaison, légumes</x:v>
      </x:c>
      <x:c r="E194" s="33" t="n">
        <x:v>25</x:v>
      </x:c>
      <x:c r="F194" s="33" t="n">
        <x:v>75</x:v>
      </x:c>
      <x:c r="G194" s="56" t="n">
        <x:v>4.3</x:v>
      </x:c>
      <x:c r="H194" s="56" t="n">
        <x:v>3.7</x:v>
      </x:c>
      <x:c r="I194" s="33" t="n">
        <x:v>2</x:v>
      </x:c>
      <x:c r="J194" s="57" t="n">
        <x:v>23</x:v>
      </x:c>
      <x:c r="K194" s="57" t="n">
        <x:f>J194*'Hypothèses &amp; sources'!$E$4</x:f>
        <x:v>23</x:v>
      </x:c>
      <x:c r="L194" s="57" t="n">
        <x:f>J194*'Hypothèses &amp; sources'!$F$4</x:f>
        <x:v>24.380000000000003</x:v>
      </x:c>
      <x:c r="M194" s="57" t="n">
        <x:f>J194*'Hypothèses &amp; sources'!$G$4</x:f>
        <x:v>25.3</x:v>
      </x:c>
      <x:c r="N194" s="57" t="n">
        <x:f>J194*'Hypothèses &amp; sources'!$H$4</x:f>
        <x:v>25.53</x:v>
      </x:c>
      <x:c r="O194" s="57" t="n">
        <x:f>J194*'Hypothèses &amp; sources'!$I$4</x:f>
        <x:v>28.52</x:v>
      </x:c>
      <x:c r="P194" s="57" t="str">
        <x:v>Carrefour</x:v>
      </x:c>
      <x:c r="Q194" s="57" t="n">
        <x:f>IF(P194="Lidl",K194,IF(P194="Super U",L194,IF(P194="Carrefour",M194,IF(P194="Auchan",N194,O194))))</x:f>
        <x:v>25.3</x:v>
      </x:c>
      <x:c r="R194" s="57" t="n">
        <x:f>Q194/'Hypothèses &amp; sources'!$B$4</x:f>
        <x:v>6.325</x:v>
      </x:c>
      <x:c r="S194" s="56" t="n">
        <x:f>MAX(0,'Hypothèses &amp; sources'!$B$5*MAX(0,MIN(100,'Hypothèses &amp; sources'!$B$10-R194*'Hypothèses &amp; sources'!$B$9))+'Hypothèses &amp; sources'!$B$6*(G194/5*100)+'Hypothèses &amp; sources'!$B$7*(H194/5*100)+'Hypothèses &amp; sources'!$B$8*MAX(0,MIN(100,'Hypothèses &amp; sources'!$B$12-E194*'Hypothèses &amp; sources'!$B$11))-T194)</x:f>
        <x:v>58.322</x:v>
      </x:c>
      <x:c r="T194" s="33" t="n">
        <x:v>0</x:v>
      </x:c>
    </x:row>
    <x:row r="195">
      <x:c r="A195" s="33" t="n">
        <x:v>191</x:v>
      </x:c>
      <x:c r="B195" s="38" t="str">
        <x:v>Coquilles saint-jacques alfredo</x:v>
      </x:c>
      <x:c r="C195" s="38" t="str">
        <x:v>Plat complet</x:v>
      </x:c>
      <x:c r="D195" s="38" t="str">
        <x:v>pâtes / nouilles, coquilles Saint-Jacques, crème / fromage</x:v>
      </x:c>
      <x:c r="E195" s="33" t="n">
        <x:v>20</x:v>
      </x:c>
      <x:c r="F195" s="33" t="n">
        <x:v>40</x:v>
      </x:c>
      <x:c r="G195" s="56" t="n">
        <x:v>3.8</x:v>
      </x:c>
      <x:c r="H195" s="56" t="n">
        <x:v>3.5</x:v>
      </x:c>
      <x:c r="I195" s="33" t="n">
        <x:v>2</x:v>
      </x:c>
      <x:c r="J195" s="57" t="n">
        <x:v>23.2</x:v>
      </x:c>
      <x:c r="K195" s="57" t="n">
        <x:f>J195*'Hypothèses &amp; sources'!$E$4</x:f>
        <x:v>23.2</x:v>
      </x:c>
      <x:c r="L195" s="57" t="n">
        <x:f>J195*'Hypothèses &amp; sources'!$F$4</x:f>
        <x:v>24.592</x:v>
      </x:c>
      <x:c r="M195" s="57" t="n">
        <x:f>J195*'Hypothèses &amp; sources'!$G$4</x:f>
        <x:v>25.52</x:v>
      </x:c>
      <x:c r="N195" s="57" t="n">
        <x:f>J195*'Hypothèses &amp; sources'!$H$4</x:f>
        <x:v>25.752000000000002</x:v>
      </x:c>
      <x:c r="O195" s="57" t="n">
        <x:f>J195*'Hypothèses &amp; sources'!$I$4</x:f>
        <x:v>28.768</x:v>
      </x:c>
      <x:c r="P195" s="57" t="str">
        <x:v>Carrefour</x:v>
      </x:c>
      <x:c r="Q195" s="57" t="n">
        <x:f>IF(P195="Lidl",K195,IF(P195="Super U",L195,IF(P195="Carrefour",M195,IF(P195="Auchan",N195,O195))))</x:f>
        <x:v>25.52</x:v>
      </x:c>
      <x:c r="R195" s="57" t="n">
        <x:f>Q195/'Hypothèses &amp; sources'!$B$4</x:f>
        <x:v>6.38</x:v>
      </x:c>
      <x:c r="S195" s="56" t="n">
        <x:f>MAX(0,'Hypothèses &amp; sources'!$B$5*MAX(0,MIN(100,'Hypothèses &amp; sources'!$B$10-R195*'Hypothèses &amp; sources'!$B$9))+'Hypothèses &amp; sources'!$B$6*(G195/5*100)+'Hypothèses &amp; sources'!$B$7*(H195/5*100)+'Hypothèses &amp; sources'!$B$8*MAX(0,MIN(100,'Hypothèses &amp; sources'!$B$12-E195*'Hypothèses &amp; sources'!$B$11))-T195)</x:f>
        <x:v>55.8448</x:v>
      </x:c>
      <x:c r="T195" s="33" t="n">
        <x:v>0</x:v>
      </x:c>
    </x:row>
    <x:row r="196">
      <x:c r="A196" s="33" t="n">
        <x:v>192</x:v>
      </x:c>
      <x:c r="B196" s="38" t="str">
        <x:v>Lamb shanks curry</x:v>
      </x:c>
      <x:c r="C196" s="38" t="str">
        <x:v>Curry / cuisine épicée</x:v>
      </x:c>
      <x:c r="D196" s="38" t="str">
        <x:v>oignon, ail, gingembre, épices, jarrets d’agneau, légumes</x:v>
      </x:c>
      <x:c r="E196" s="33" t="n">
        <x:v>25</x:v>
      </x:c>
      <x:c r="F196" s="33" t="n">
        <x:v>90</x:v>
      </x:c>
      <x:c r="G196" s="56" t="n">
        <x:v>4</x:v>
      </x:c>
      <x:c r="H196" s="56" t="n">
        <x:v>3.3</x:v>
      </x:c>
      <x:c r="I196" s="33" t="n">
        <x:v>1</x:v>
      </x:c>
      <x:c r="J196" s="57" t="n">
        <x:v>23.9</x:v>
      </x:c>
      <x:c r="K196" s="57" t="n">
        <x:f>J196*'Hypothèses &amp; sources'!$E$4</x:f>
        <x:v>23.9</x:v>
      </x:c>
      <x:c r="L196" s="57" t="n">
        <x:f>J196*'Hypothèses &amp; sources'!$F$4</x:f>
        <x:v>25.334</x:v>
      </x:c>
      <x:c r="M196" s="57" t="n">
        <x:f>J196*'Hypothèses &amp; sources'!$G$4</x:f>
        <x:v>26.29</x:v>
      </x:c>
      <x:c r="N196" s="57" t="n">
        <x:f>J196*'Hypothèses &amp; sources'!$H$4</x:f>
        <x:v>26.529</x:v>
      </x:c>
      <x:c r="O196" s="57" t="n">
        <x:f>J196*'Hypothèses &amp; sources'!$I$4</x:f>
        <x:v>29.636</x:v>
      </x:c>
      <x:c r="P196" s="57" t="str">
        <x:v>Carrefour</x:v>
      </x:c>
      <x:c r="Q196" s="57" t="n">
        <x:f>IF(P196="Lidl",K196,IF(P196="Super U",L196,IF(P196="Carrefour",M196,IF(P196="Auchan",N196,O196))))</x:f>
        <x:v>26.29</x:v>
      </x:c>
      <x:c r="R196" s="57" t="n">
        <x:f>Q196/'Hypothèses &amp; sources'!$B$4</x:f>
        <x:v>6.5725</x:v>
      </x:c>
      <x:c r="S196" s="56" t="n">
        <x:f>MAX(0,'Hypothèses &amp; sources'!$B$5*MAX(0,MIN(100,'Hypothèses &amp; sources'!$B$10-R196*'Hypothèses &amp; sources'!$B$9))+'Hypothèses &amp; sources'!$B$6*(G196/5*100)+'Hypothèses &amp; sources'!$B$7*(H196/5*100)+'Hypothèses &amp; sources'!$B$8*MAX(0,MIN(100,'Hypothèses &amp; sources'!$B$12-E196*'Hypothèses &amp; sources'!$B$11))-T196)</x:f>
        <x:v>53.9546</x:v>
      </x:c>
      <x:c r="T196" s="33" t="n">
        <x:v>0</x:v>
      </x:c>
    </x:row>
    <x:row r="197">
      <x:c r="A197" s="33" t="n">
        <x:v>193</x:v>
      </x:c>
      <x:c r="B197" s="38" t="str">
        <x:v>Côtes de bœuf succulentes</x:v>
      </x:c>
      <x:c r="C197" s="38" t="str">
        <x:v>Plat complet</x:v>
      </x:c>
      <x:c r="D197" s="38" t="str">
        <x:v>pièce de bœuf premium</x:v>
      </x:c>
      <x:c r="E197" s="33" t="n">
        <x:v>20</x:v>
      </x:c>
      <x:c r="F197" s="33" t="n">
        <x:v>40</x:v>
      </x:c>
      <x:c r="G197" s="56" t="n">
        <x:v>4.1</x:v>
      </x:c>
      <x:c r="H197" s="56" t="n">
        <x:v>3.1</x:v>
      </x:c>
      <x:c r="I197" s="33" t="n">
        <x:v>1</x:v>
      </x:c>
      <x:c r="J197" s="57" t="n">
        <x:v>24.9</x:v>
      </x:c>
      <x:c r="K197" s="57" t="n">
        <x:f>J197*'Hypothèses &amp; sources'!$E$4</x:f>
        <x:v>24.9</x:v>
      </x:c>
      <x:c r="L197" s="57" t="n">
        <x:f>J197*'Hypothèses &amp; sources'!$F$4</x:f>
        <x:v>26.394</x:v>
      </x:c>
      <x:c r="M197" s="57" t="n">
        <x:f>J197*'Hypothèses &amp; sources'!$G$4</x:f>
        <x:v>27.39</x:v>
      </x:c>
      <x:c r="N197" s="57" t="n">
        <x:f>J197*'Hypothèses &amp; sources'!$H$4</x:f>
        <x:v>27.639</x:v>
      </x:c>
      <x:c r="O197" s="57" t="n">
        <x:f>J197*'Hypothèses &amp; sources'!$I$4</x:f>
        <x:v>30.875999999999998</x:v>
      </x:c>
      <x:c r="P197" s="57" t="str">
        <x:v>Carrefour</x:v>
      </x:c>
      <x:c r="Q197" s="57" t="n">
        <x:f>IF(P197="Lidl",K197,IF(P197="Super U",L197,IF(P197="Carrefour",M197,IF(P197="Auchan",N197,O197))))</x:f>
        <x:v>27.39</x:v>
      </x:c>
      <x:c r="R197" s="57" t="n">
        <x:f>Q197/'Hypothèses &amp; sources'!$B$4</x:f>
        <x:v>6.8475</x:v>
      </x:c>
      <x:c r="S197" s="56" t="n">
        <x:f>MAX(0,'Hypothèses &amp; sources'!$B$5*MAX(0,MIN(100,'Hypothèses &amp; sources'!$B$10-R197*'Hypothèses &amp; sources'!$B$9))+'Hypothèses &amp; sources'!$B$6*(G197/5*100)+'Hypothèses &amp; sources'!$B$7*(H197/5*100)+'Hypothèses &amp; sources'!$B$8*MAX(0,MIN(100,'Hypothèses &amp; sources'!$B$12-E197*'Hypothèses &amp; sources'!$B$11))-T197)</x:f>
        <x:v>53.7286</x:v>
      </x:c>
      <x:c r="T197" s="33" t="n">
        <x:v>0</x:v>
      </x:c>
    </x:row>
    <x:row r="198">
      <x:c r="A198" s="33" t="n">
        <x:v>194</x:v>
      </x:c>
      <x:c r="B198" s="38" t="str">
        <x:v>Tri tip</x:v>
      </x:c>
      <x:c r="C198" s="38" t="str">
        <x:v>Plat complet</x:v>
      </x:c>
      <x:c r="D198" s="38" t="str">
        <x:v>pièce de bœuf premium</x:v>
      </x:c>
      <x:c r="E198" s="33" t="n">
        <x:v>20</x:v>
      </x:c>
      <x:c r="F198" s="33" t="n">
        <x:v>40</x:v>
      </x:c>
      <x:c r="G198" s="56" t="n">
        <x:v>4.1</x:v>
      </x:c>
      <x:c r="H198" s="56" t="n">
        <x:v>3.1</x:v>
      </x:c>
      <x:c r="I198" s="33" t="n">
        <x:v>1</x:v>
      </x:c>
      <x:c r="J198" s="57" t="n">
        <x:v>24.9</x:v>
      </x:c>
      <x:c r="K198" s="57" t="n">
        <x:f>J198*'Hypothèses &amp; sources'!$E$4</x:f>
        <x:v>24.9</x:v>
      </x:c>
      <x:c r="L198" s="57" t="n">
        <x:f>J198*'Hypothèses &amp; sources'!$F$4</x:f>
        <x:v>26.394</x:v>
      </x:c>
      <x:c r="M198" s="57" t="n">
        <x:f>J198*'Hypothèses &amp; sources'!$G$4</x:f>
        <x:v>27.39</x:v>
      </x:c>
      <x:c r="N198" s="57" t="n">
        <x:f>J198*'Hypothèses &amp; sources'!$H$4</x:f>
        <x:v>27.639</x:v>
      </x:c>
      <x:c r="O198" s="57" t="n">
        <x:f>J198*'Hypothèses &amp; sources'!$I$4</x:f>
        <x:v>30.875999999999998</x:v>
      </x:c>
      <x:c r="P198" s="57" t="str">
        <x:v>Carrefour</x:v>
      </x:c>
      <x:c r="Q198" s="57" t="n">
        <x:f>IF(P198="Lidl",K198,IF(P198="Super U",L198,IF(P198="Carrefour",M198,IF(P198="Auchan",N198,O198))))</x:f>
        <x:v>27.39</x:v>
      </x:c>
      <x:c r="R198" s="57" t="n">
        <x:f>Q198/'Hypothèses &amp; sources'!$B$4</x:f>
        <x:v>6.8475</x:v>
      </x:c>
      <x:c r="S198" s="56" t="n">
        <x:f>MAX(0,'Hypothèses &amp; sources'!$B$5*MAX(0,MIN(100,'Hypothèses &amp; sources'!$B$10-R198*'Hypothèses &amp; sources'!$B$9))+'Hypothèses &amp; sources'!$B$6*(G198/5*100)+'Hypothèses &amp; sources'!$B$7*(H198/5*100)+'Hypothèses &amp; sources'!$B$8*MAX(0,MIN(100,'Hypothèses &amp; sources'!$B$12-E198*'Hypothèses &amp; sources'!$B$11))-T198)</x:f>
        <x:v>53.7286</x:v>
      </x:c>
      <x:c r="T198" s="33" t="n">
        <x:v>0</x:v>
      </x:c>
    </x:row>
    <x:row r="199">
      <x:c r="A199" s="33" t="n">
        <x:v>195</x:v>
      </x:c>
      <x:c r="B199" s="38" t="str">
        <x:v>Rack of lamb</x:v>
      </x:c>
      <x:c r="C199" s="38" t="str">
        <x:v>Plat complet</x:v>
      </x:c>
      <x:c r="D199" s="38" t="str">
        <x:v>carré d’agneau</x:v>
      </x:c>
      <x:c r="E199" s="33" t="n">
        <x:v>20</x:v>
      </x:c>
      <x:c r="F199" s="33" t="n">
        <x:v>40</x:v>
      </x:c>
      <x:c r="G199" s="56" t="n">
        <x:v>3.9</x:v>
      </x:c>
      <x:c r="H199" s="56" t="n">
        <x:v>3.1</x:v>
      </x:c>
      <x:c r="I199" s="33" t="n">
        <x:v>2</x:v>
      </x:c>
      <x:c r="J199" s="57" t="n">
        <x:v>29.9</x:v>
      </x:c>
      <x:c r="K199" s="57" t="n">
        <x:f>J199*'Hypothèses &amp; sources'!$E$4</x:f>
        <x:v>29.9</x:v>
      </x:c>
      <x:c r="L199" s="57" t="n">
        <x:f>J199*'Hypothèses &amp; sources'!$F$4</x:f>
        <x:v>31.694</x:v>
      </x:c>
      <x:c r="M199" s="57" t="n">
        <x:f>J199*'Hypothèses &amp; sources'!$G$4</x:f>
        <x:v>32.89</x:v>
      </x:c>
      <x:c r="N199" s="57" t="n">
        <x:f>J199*'Hypothèses &amp; sources'!$H$4</x:f>
        <x:v>33.189</x:v>
      </x:c>
      <x:c r="O199" s="57" t="n">
        <x:f>J199*'Hypothèses &amp; sources'!$I$4</x:f>
        <x:v>37.076</x:v>
      </x:c>
      <x:c r="P199" s="57" t="str">
        <x:v>Carrefour</x:v>
      </x:c>
      <x:c r="Q199" s="57" t="n">
        <x:f>IF(P199="Lidl",K199,IF(P199="Super U",L199,IF(P199="Carrefour",M199,IF(P199="Auchan",N199,O199))))</x:f>
        <x:v>32.89</x:v>
      </x:c>
      <x:c r="R199" s="57" t="n">
        <x:f>Q199/'Hypothèses &amp; sources'!$B$4</x:f>
        <x:v>8.2225</x:v>
      </x:c>
      <x:c r="S199" s="56" t="n">
        <x:f>MAX(0,'Hypothèses &amp; sources'!$B$5*MAX(0,MIN(100,'Hypothèses &amp; sources'!$B$10-R199*'Hypothèses &amp; sources'!$B$9))+'Hypothèses &amp; sources'!$B$6*(G199/5*100)+'Hypothèses &amp; sources'!$B$7*(H199/5*100)+'Hypothèses &amp; sources'!$B$8*MAX(0,MIN(100,'Hypothèses &amp; sources'!$B$12-E199*'Hypothèses &amp; sources'!$B$11))-T199)</x:f>
        <x:v>45.6786</x:v>
      </x:c>
      <x:c r="T199" s="33" t="n">
        <x:v>0</x:v>
      </x:c>
    </x:row>
    <x:row r="200">
      <x:c r="A200" s="33" t="n">
        <x:v>196</x:v>
      </x:c>
      <x:c r="B200" s="38" t="str">
        <x:v>Homard et mais à la vapeur</x:v>
      </x:c>
      <x:c r="C200" s="38" t="str">
        <x:v>Plat complet</x:v>
      </x:c>
      <x:c r="D200" s="38" t="str">
        <x:v>maïs, homard</x:v>
      </x:c>
      <x:c r="E200" s="33" t="n">
        <x:v>15</x:v>
      </x:c>
      <x:c r="F200" s="33" t="n">
        <x:v>35</x:v>
      </x:c>
      <x:c r="G200" s="56" t="n">
        <x:v>3.7</x:v>
      </x:c>
      <x:c r="H200" s="56" t="n">
        <x:v>3.6</x:v>
      </x:c>
      <x:c r="I200" s="33" t="n">
        <x:v>2</x:v>
      </x:c>
      <x:c r="J200" s="57" t="n">
        <x:v>32.4</x:v>
      </x:c>
      <x:c r="K200" s="57" t="n">
        <x:f>J200*'Hypothèses &amp; sources'!$E$4</x:f>
        <x:v>32.4</x:v>
      </x:c>
      <x:c r="L200" s="57" t="n">
        <x:f>J200*'Hypothèses &amp; sources'!$F$4</x:f>
        <x:v>34.344</x:v>
      </x:c>
      <x:c r="M200" s="57" t="n">
        <x:f>J200*'Hypothèses &amp; sources'!$G$4</x:f>
        <x:v>35.64</x:v>
      </x:c>
      <x:c r="N200" s="57" t="n">
        <x:f>J200*'Hypothèses &amp; sources'!$H$4</x:f>
        <x:v>35.964</x:v>
      </x:c>
      <x:c r="O200" s="57" t="n">
        <x:f>J200*'Hypothèses &amp; sources'!$I$4</x:f>
        <x:v>40.175999999999995</x:v>
      </x:c>
      <x:c r="P200" s="57" t="str">
        <x:v>Carrefour</x:v>
      </x:c>
      <x:c r="Q200" s="57" t="n">
        <x:f>IF(P200="Lidl",K200,IF(P200="Super U",L200,IF(P200="Carrefour",M200,IF(P200="Auchan",N200,O200))))</x:f>
        <x:v>35.64</x:v>
      </x:c>
      <x:c r="R200" s="57" t="n">
        <x:f>Q200/'Hypothèses &amp; sources'!$B$4</x:f>
        <x:v>8.91</x:v>
      </x:c>
      <x:c r="S200" s="56" t="n">
        <x:f>MAX(0,'Hypothèses &amp; sources'!$B$5*MAX(0,MIN(100,'Hypothèses &amp; sources'!$B$10-R200*'Hypothèses &amp; sources'!$B$9))+'Hypothèses &amp; sources'!$B$6*(G200/5*100)+'Hypothèses &amp; sources'!$B$7*(H200/5*100)+'Hypothèses &amp; sources'!$B$8*MAX(0,MIN(100,'Hypothèses &amp; sources'!$B$12-E200*'Hypothèses &amp; sources'!$B$11))-T200)</x:f>
        <x:v>44.2136</x:v>
      </x:c>
      <x:c r="T200" s="33" t="n">
        <x:v>0</x:v>
      </x:c>
    </x:row>
  </x:sheetData>
  <x:mergeCells>
    <x:mergeCell ref="A1:T1"/>
    <x:mergeCell ref="A2:T2"/>
  </x:mergeCells>
  <x:conditionalFormatting sqref="Q5:Q174">
    <x:cfRule type="colorScale" priority="1">
      <x:colorScale>
        <x:cfvo type="min"/>
        <x:cfvo type="percentile" val="50"/>
        <x:cfvo type="max"/>
        <x:color rgb="FFE2F0D9"/>
        <x:color rgb="FFFFF2CC"/>
        <x:color rgb="FFF4CCCC"/>
      </x:colorScale>
    </x:cfRule>
  </x:conditionalFormatting>
  <x:conditionalFormatting sqref="S5:S174">
    <x:cfRule type="dataBar" priority="2">
      <x:dataBar>
        <x:cfvo type="min"/>
        <x:cfvo type="max"/>
        <x:color rgb="FF5B9BD5"/>
      </x:dataBar>
      <x:extLst>
        <x:ext xmlns:x14="http://schemas.microsoft.com/office/spreadsheetml/2009/9/main" uri="{B025F937-C7B1-47D3-B67F-A62EFF666E3E}">
          <x14:id>{B340FD02-01BD-E011-FEE5-9B7BDDEB1D07}</x14:id>
        </x:ext>
      </x:extLst>
    </x:cfRule>
  </x:conditionalFormatting>
  <x:conditionalFormatting sqref="G5:G174">
    <x:cfRule type="dataBar" priority="3">
      <x:dataBar>
        <x:cfvo type="min"/>
        <x:cfvo type="max"/>
        <x:color rgb="FF70AD47"/>
      </x:dataBar>
      <x:extLst>
        <x:ext xmlns:x14="http://schemas.microsoft.com/office/spreadsheetml/2009/9/main" uri="{B025F937-C7B1-47D3-B67F-A62EFF666E3E}">
          <x14:id>{BD96FD9E-7D65-01DC-479A-8AF4B7811465}</x14:id>
        </x:ext>
      </x:extLst>
    </x:cfRule>
  </x:conditionalFormatting>
  <x:conditionalFormatting sqref="E5:E174">
    <x:cfRule type="colorScale" priority="4">
      <x:colorScale>
        <x:cfvo type="min"/>
        <x:cfvo type="percentile" val="50"/>
        <x:cfvo type="max"/>
        <x:color rgb="FFE2F0D9"/>
        <x:color rgb="FFFFF2CC"/>
        <x:color rgb="FFF4CCCC"/>
      </x:colorScale>
    </x:cfRule>
  </x:conditionalFormatting>
  <x:conditionalFormatting sqref="Q5:Q200">
    <x:cfRule type="colorScale" priority="5">
      <x:colorScale>
        <x:cfvo type="min"/>
        <x:cfvo type="percentile" val="50"/>
        <x:cfvo type="max"/>
        <x:color rgb="FFE2F0D9"/>
        <x:color rgb="FFFFF2CC"/>
        <x:color rgb="FFF4CCCC"/>
      </x:colorScale>
    </x:cfRule>
  </x:conditionalFormatting>
  <x:conditionalFormatting sqref="S5:S200">
    <x:cfRule type="dataBar" priority="6">
      <x:dataBar>
        <x:cfvo type="min"/>
        <x:cfvo type="max"/>
        <x:color rgb="FF5B9BD5"/>
      </x:dataBar>
      <x:extLst>
        <x:ext xmlns:x14="http://schemas.microsoft.com/office/spreadsheetml/2009/9/main" uri="{B025F937-C7B1-47D3-B67F-A62EFF666E3E}">
          <x14:id>{B8C1A3E2-41BE-A6A4-7EAA-C4448B5B295D}</x14:id>
        </x:ext>
      </x:extLst>
    </x:cfRule>
  </x:conditionalFormatting>
  <x:conditionalFormatting sqref="G5:G200">
    <x:cfRule type="dataBar" priority="7">
      <x:dataBar>
        <x:cfvo type="min"/>
        <x:cfvo type="max"/>
        <x:color rgb="FF70AD47"/>
      </x:dataBar>
      <x:extLst>
        <x:ext xmlns:x14="http://schemas.microsoft.com/office/spreadsheetml/2009/9/main" uri="{B025F937-C7B1-47D3-B67F-A62EFF666E3E}">
          <x14:id>{53B5588C-5767-9A96-829C-C1C816ACA87E}</x14:id>
        </x:ext>
      </x:extLst>
    </x:cfRule>
  </x:conditionalFormatting>
  <x:conditionalFormatting sqref="E5:E200">
    <x:cfRule type="colorScale" priority="8">
      <x:colorScale>
        <x:cfvo type="min"/>
        <x:cfvo type="percentile" val="50"/>
        <x:cfvo type="max"/>
        <x:color rgb="FFE2F0D9"/>
        <x:color rgb="FFFFF2CC"/>
        <x:color rgb="FFF4CCCC"/>
      </x:colorScale>
    </x:cfRule>
  </x:conditionalFormatting>
  <x:pageMargins left="0.7" right="0.7" top="0.75" bottom="0.75" header="0.3" footer="0.3"/>
  <x:tableParts count="1">
    <x:tablePart xmlns:r="http://schemas.openxmlformats.org/officeDocument/2006/relationships" r:id="R520f483a35c44b83"/>
  </x:tableParts>
  <x:extLst>
    <x:ext xmlns:x14="http://schemas.microsoft.com/office/spreadsheetml/2009/9/main" xmlns:xm="http://schemas.microsoft.com/office/excel/2006/main" uri="{78C0D931-6437-407d-A8EE-F0AAD7539E65}">
      <x14:conditionalFormattings>
        <x14:conditionalFormatting>
          <x14:cfRule type="dataBar" priority="2" id="{B340FD02-01BD-E011-FEE5-9B7BDDEB1D07}">
            <x14:dataBar gradient="1">
              <x14:cfvo type="min"/>
              <x14:cfvo type="max"/>
              <x14:fillColor rgb="FF5B9BD5"/>
            </x14:dataBar>
          </x14:cfRule>
          <xm:sqref>S5:S174</xm:sqref>
        </x14:conditionalFormatting>
        <x14:conditionalFormatting>
          <x14:cfRule type="dataBar" priority="3" id="{BD96FD9E-7D65-01DC-479A-8AF4B7811465}">
            <x14:dataBar gradient="1">
              <x14:cfvo type="min"/>
              <x14:cfvo type="max"/>
              <x14:fillColor rgb="FF70AD47"/>
            </x14:dataBar>
          </x14:cfRule>
          <xm:sqref>G5:G174</xm:sqref>
        </x14:conditionalFormatting>
        <x14:conditionalFormatting>
          <x14:cfRule type="dataBar" priority="6" id="{B8C1A3E2-41BE-A6A4-7EAA-C4448B5B295D}">
            <x14:dataBar gradient="1">
              <x14:cfvo type="min"/>
              <x14:cfvo type="max"/>
              <x14:fillColor rgb="FF5B9BD5"/>
            </x14:dataBar>
          </x14:cfRule>
          <xm:sqref>S5:S200</xm:sqref>
        </x14:conditionalFormatting>
        <x14:conditionalFormatting>
          <x14:cfRule type="dataBar" priority="7" id="{53B5588C-5767-9A96-829C-C1C816ACA87E}">
            <x14:dataBar gradient="1">
              <x14:cfvo type="min"/>
              <x14:cfvo type="max"/>
              <x14:fillColor rgb="FF70AD47"/>
            </x14:dataBar>
          </x14:cfRule>
          <xm:sqref>G5:G200</xm:sqref>
        </x14:conditionalFormatting>
      </x14:conditionalFormattings>
    </x:ext>
  </x:extLst>
</x:worksheet>
</file>

<file path=xl/worksheets/sheet4.xml><?xml version="1.0" encoding="utf-8"?>
<x:worksheet xmlns:x="http://schemas.openxmlformats.org/spreadsheetml/2006/main">
  <x:sheetFormatPr defaultRowHeight="15"/>
  <x:cols>
    <x:col min="1" max="1" width="8" hidden="0" customWidth="1"/>
    <x:col min="2" max="2" width="37" hidden="0" customWidth="1"/>
    <x:col min="3" max="3" width="24" hidden="0" customWidth="1"/>
    <x:col min="4" max="4" width="58" hidden="0" customWidth="1"/>
    <x:col min="5" max="5" width="14" hidden="0" customWidth="1"/>
    <x:col min="6" max="6" width="14" hidden="0" customWidth="1"/>
    <x:col min="7" max="7" width="12" hidden="0" customWidth="1"/>
    <x:col min="8" max="8" width="12" hidden="0" customWidth="1"/>
    <x:col min="9" max="9" width="12"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20" hidden="0" customWidth="1"/>
    <x:col min="17" max="17" width="14" hidden="0" customWidth="1"/>
    <x:col min="18" max="18" width="14" hidden="0" customWidth="1"/>
    <x:col min="19" max="19" width="17" hidden="0" customWidth="1"/>
    <x:col min="20" max="20" width="13" hidden="0" customWidth="1"/>
  </x:cols>
  <x:sheetData>
    <x:row r="1" ht="30" customHeight="1">
      <x:c r="A1" s="5" t="str">
        <x:v>Préparation rapide</x:v>
      </x:c>
      <x:c r="B1" s="5"/>
      <x:c r="C1" s="5"/>
      <x:c r="D1" s="5"/>
      <x:c r="E1" s="5"/>
      <x:c r="F1" s="5"/>
      <x:c r="G1" s="5"/>
      <x:c r="H1" s="5"/>
      <x:c r="I1" s="5"/>
      <x:c r="J1" s="5"/>
      <x:c r="K1" s="5"/>
      <x:c r="L1" s="5"/>
      <x:c r="M1" s="5"/>
      <x:c r="N1" s="5"/>
      <x:c r="O1" s="5"/>
      <x:c r="P1" s="5"/>
      <x:c r="Q1" s="5"/>
      <x:c r="R1" s="5"/>
      <x:c r="S1" s="5"/>
      <x:c r="T1" s="5"/>
    </x:row>
    <x:row r="2" ht="32" customHeight="1">
      <x:c r="A2" s="26" t="str">
        <x:v>Coûts estimés pour 4 portions. Le magasin recommandé combine prix et probabilité de trouver les ingrédients.</x:v>
      </x:c>
      <x:c r="B2" s="26"/>
      <x:c r="C2" s="26"/>
      <x:c r="D2" s="26"/>
      <x:c r="E2" s="26"/>
      <x:c r="F2" s="26"/>
      <x:c r="G2" s="26"/>
      <x:c r="H2" s="26"/>
      <x:c r="I2" s="26"/>
      <x:c r="J2" s="26"/>
      <x:c r="K2" s="26"/>
      <x:c r="L2" s="26"/>
      <x:c r="M2" s="26"/>
      <x:c r="N2" s="26"/>
      <x:c r="O2" s="26"/>
      <x:c r="P2" s="26"/>
      <x:c r="Q2" s="26"/>
      <x:c r="R2" s="26"/>
      <x:c r="S2" s="26"/>
      <x:c r="T2" s="26"/>
    </x:row>
    <x:row r="4" ht="38" customHeight="1">
      <x:c r="A4" s="83" t="str">
        <x:v>Rang</x:v>
      </x:c>
      <x:c r="B4" s="83" t="str">
        <x:v>Recette</x:v>
      </x:c>
      <x:c r="C4" s="83" t="str">
        <x:v>Catégorie</x:v>
      </x:c>
      <x:c r="D4" s="83" t="str">
        <x:v>Ingrédients principaux estimés</x:v>
      </x:c>
      <x:c r="E4" s="83" t="str">
        <x:v>Préparation active (min)</x:v>
      </x:c>
      <x:c r="F4" s="83" t="str">
        <x:v>Temps total (min)</x:v>
      </x:c>
      <x:c r="G4" s="83" t="str">
        <x:v>Satiété estimée /5</x:v>
      </x:c>
      <x:c r="H4" s="83" t="str">
        <x:v>Équilibre /5</x:v>
      </x:c>
      <x:c r="I4" s="83" t="str">
        <x:v>Spécialité 0–2</x:v>
      </x:c>
      <x:c r="J4" s="83" t="str">
        <x:v>Base Lidl estimée</x:v>
      </x:c>
      <x:c r="K4" s="83" t="str">
        <x:v>Lidl</x:v>
      </x:c>
      <x:c r="L4" s="83" t="str">
        <x:v>Super U</x:v>
      </x:c>
      <x:c r="M4" s="83" t="str">
        <x:v>Carrefour</x:v>
      </x:c>
      <x:c r="N4" s="83" t="str">
        <x:v>Auchan</x:v>
      </x:c>
      <x:c r="O4" s="83" t="str">
        <x:v>Monoprix</x:v>
      </x:c>
      <x:c r="P4" s="83" t="str">
        <x:v>Enseigne recommandée</x:v>
      </x:c>
      <x:c r="Q4" s="83" t="str">
        <x:v>Coût recommandé</x:v>
      </x:c>
      <x:c r="R4" s="83" t="str">
        <x:v>Coût / portion</x:v>
      </x:c>
      <x:c r="S4" s="83" t="str">
        <x:v>Score qualité-prix /100</x:v>
      </x:c>
      <x:c r="T4" s="83" t="str">
        <x:v>Pénalité complétude</x:v>
      </x:c>
    </x:row>
    <x:row r="5">
      <x:c r="A5" s="33" t="n">
        <x:v>1</x:v>
      </x:c>
      <x:c r="B5" s="38" t="str">
        <x:v>The perfect hard-boiled eggs</x:v>
      </x:c>
      <x:c r="C5" s="38" t="str">
        <x:v>Œufs / base</x:v>
      </x:c>
      <x:c r="D5" s="38" t="str">
        <x:v>œufs, eau</x:v>
      </x:c>
      <x:c r="E5" s="33" t="n">
        <x:v>5</x:v>
      </x:c>
      <x:c r="F5" s="33" t="n">
        <x:v>15</x:v>
      </x:c>
      <x:c r="G5" s="56" t="n">
        <x:v>3.5</x:v>
      </x:c>
      <x:c r="H5" s="56" t="n">
        <x:v>3.5</x:v>
      </x:c>
      <x:c r="I5" s="33" t="n">
        <x:v>0</x:v>
      </x:c>
      <x:c r="J5" s="57" t="n">
        <x:v>3.3</x:v>
      </x:c>
      <x:c r="K5" s="57" t="n">
        <x:f>J5*'Hypothèses &amp; sources'!$E$4</x:f>
        <x:v>3.3</x:v>
      </x:c>
      <x:c r="L5" s="57" t="n">
        <x:f>J5*'Hypothèses &amp; sources'!$F$4</x:f>
        <x:v>3.4979999999999998</x:v>
      </x:c>
      <x:c r="M5" s="57" t="n">
        <x:f>J5*'Hypothèses &amp; sources'!$G$4</x:f>
        <x:v>3.63</x:v>
      </x:c>
      <x:c r="N5" s="57" t="n">
        <x:f>J5*'Hypothèses &amp; sources'!$H$4</x:f>
        <x:v>3.6630000000000003</x:v>
      </x:c>
      <x:c r="O5" s="57" t="n">
        <x:f>J5*'Hypothèses &amp; sources'!$I$4</x:f>
        <x:v>4.092</x:v>
      </x:c>
      <x:c r="P5" s="57" t="str">
        <x:v>Lidl</x:v>
      </x:c>
      <x:c r="Q5" s="57" t="n">
        <x:f>IF(P5="Lidl",K5,IF(P5="Super U",L5,IF(P5="Carrefour",M5,IF(P5="Auchan",N5,O5))))</x:f>
        <x:v>3.3</x:v>
      </x:c>
      <x:c r="R5" s="57" t="n">
        <x:f>Q5/'Hypothèses &amp; sources'!$B$4</x:f>
        <x:v>0.825</x:v>
      </x:c>
      <x:c r="S5" s="56" t="n">
        <x:f>MAX(0,'Hypothèses &amp; sources'!$B$5*MAX(0,MIN(100,'Hypothèses &amp; sources'!$B$10-R5*'Hypothèses &amp; sources'!$B$9))+'Hypothèses &amp; sources'!$B$6*(G5/5*100)+'Hypothèses &amp; sources'!$B$7*(H5/5*100)+'Hypothèses &amp; sources'!$B$8*MAX(0,MIN(100,'Hypothèses &amp; sources'!$B$12-E5*'Hypothèses &amp; sources'!$B$11))-T5)</x:f>
        <x:v>78.08</x:v>
      </x:c>
      <x:c r="T5" s="33" t="n">
        <x:v>8</x:v>
      </x:c>
    </x:row>
    <x:row r="6">
      <x:c r="A6" s="33" t="n">
        <x:v>2</x:v>
      </x:c>
      <x:c r="B6" s="38" t="str">
        <x:v>Perfectly simple white rice</x:v>
      </x:c>
      <x:c r="C6" s="38" t="str">
        <x:v>Riz / accompagnement</x:v>
      </x:c>
      <x:c r="D6" s="38" t="str">
        <x:v>riz blanc, eau, sel</x:v>
      </x:c>
      <x:c r="E6" s="33" t="n">
        <x:v>5</x:v>
      </x:c>
      <x:c r="F6" s="33" t="n">
        <x:v>20</x:v>
      </x:c>
      <x:c r="G6" s="56" t="n">
        <x:v>3.5</x:v>
      </x:c>
      <x:c r="H6" s="56" t="n">
        <x:v>2.8</x:v>
      </x:c>
      <x:c r="I6" s="33" t="n">
        <x:v>0</x:v>
      </x:c>
      <x:c r="J6" s="57" t="n">
        <x:v>1.8</x:v>
      </x:c>
      <x:c r="K6" s="57" t="n">
        <x:f>J6*'Hypothèses &amp; sources'!$E$4</x:f>
        <x:v>1.8</x:v>
      </x:c>
      <x:c r="L6" s="57" t="n">
        <x:f>J6*'Hypothèses &amp; sources'!$F$4</x:f>
        <x:v>1.9080000000000001</x:v>
      </x:c>
      <x:c r="M6" s="57" t="n">
        <x:f>J6*'Hypothèses &amp; sources'!$G$4</x:f>
        <x:v>1.9800000000000002</x:v>
      </x:c>
      <x:c r="N6" s="57" t="n">
        <x:f>J6*'Hypothèses &amp; sources'!$H$4</x:f>
        <x:v>1.9980000000000002</x:v>
      </x:c>
      <x:c r="O6" s="57" t="n">
        <x:f>J6*'Hypothèses &amp; sources'!$I$4</x:f>
        <x:v>2.232</x:v>
      </x:c>
      <x:c r="P6" s="57" t="str">
        <x:v>Lidl</x:v>
      </x:c>
      <x:c r="Q6" s="57" t="n">
        <x:f>IF(P6="Lidl",K6,IF(P6="Super U",L6,IF(P6="Carrefour",M6,IF(P6="Auchan",N6,O6))))</x:f>
        <x:v>1.8</x:v>
      </x:c>
      <x:c r="R6" s="57" t="n">
        <x:f>Q6/'Hypothèses &amp; sources'!$B$4</x:f>
        <x:v>0.45</x:v>
      </x:c>
      <x:c r="S6" s="56" t="n">
        <x:f>MAX(0,'Hypothèses &amp; sources'!$B$5*MAX(0,MIN(100,'Hypothèses &amp; sources'!$B$10-R6*'Hypothèses &amp; sources'!$B$9))+'Hypothèses &amp; sources'!$B$6*(G6/5*100)+'Hypothèses &amp; sources'!$B$7*(H6/5*100)+'Hypothèses &amp; sources'!$B$8*MAX(0,MIN(100,'Hypothèses &amp; sources'!$B$12-E6*'Hypothèses &amp; sources'!$B$11))-T6)</x:f>
        <x:v>75.56</x:v>
      </x:c>
      <x:c r="T6" s="33" t="n">
        <x:v>8</x:v>
      </x:c>
    </x:row>
    <x:row r="7">
      <x:c r="A7" s="33" t="n">
        <x:v>3</x:v>
      </x:c>
      <x:c r="B7" s="38" t="str">
        <x:v>Basic jasmine rice</x:v>
      </x:c>
      <x:c r="C7" s="38" t="str">
        <x:v>Riz / accompagnement</x:v>
      </x:c>
      <x:c r="D7" s="38" t="str">
        <x:v>riz jasmin, eau, sel</x:v>
      </x:c>
      <x:c r="E7" s="33" t="n">
        <x:v>5</x:v>
      </x:c>
      <x:c r="F7" s="33" t="n">
        <x:v>20</x:v>
      </x:c>
      <x:c r="G7" s="56" t="n">
        <x:v>3.6</x:v>
      </x:c>
      <x:c r="H7" s="56" t="n">
        <x:v>3.2</x:v>
      </x:c>
      <x:c r="I7" s="33" t="n">
        <x:v>0</x:v>
      </x:c>
      <x:c r="J7" s="57" t="n">
        <x:v>2.2</x:v>
      </x:c>
      <x:c r="K7" s="57" t="n">
        <x:f>J7*'Hypothèses &amp; sources'!$E$4</x:f>
        <x:v>2.2</x:v>
      </x:c>
      <x:c r="L7" s="57" t="n">
        <x:f>J7*'Hypothèses &amp; sources'!$F$4</x:f>
        <x:v>2.3320000000000003</x:v>
      </x:c>
      <x:c r="M7" s="57" t="n">
        <x:f>J7*'Hypothèses &amp; sources'!$G$4</x:f>
        <x:v>2.4200000000000004</x:v>
      </x:c>
      <x:c r="N7" s="57" t="n">
        <x:f>J7*'Hypothèses &amp; sources'!$H$4</x:f>
        <x:v>2.4420000000000006</x:v>
      </x:c>
      <x:c r="O7" s="57" t="n">
        <x:f>J7*'Hypothèses &amp; sources'!$I$4</x:f>
        <x:v>2.728</x:v>
      </x:c>
      <x:c r="P7" s="57" t="str">
        <x:v>Lidl</x:v>
      </x:c>
      <x:c r="Q7" s="57" t="n">
        <x:f>IF(P7="Lidl",K7,IF(P7="Super U",L7,IF(P7="Carrefour",M7,IF(P7="Auchan",N7,O7))))</x:f>
        <x:v>2.2</x:v>
      </x:c>
      <x:c r="R7" s="57" t="n">
        <x:f>Q7/'Hypothèses &amp; sources'!$B$4</x:f>
        <x:v>0.55</x:v>
      </x:c>
      <x:c r="S7" s="56" t="n">
        <x:f>MAX(0,'Hypothèses &amp; sources'!$B$5*MAX(0,MIN(100,'Hypothèses &amp; sources'!$B$10-R7*'Hypothèses &amp; sources'!$B$9))+'Hypothèses &amp; sources'!$B$6*(G7/5*100)+'Hypothèses &amp; sources'!$B$7*(H7/5*100)+'Hypothèses &amp; sources'!$B$8*MAX(0,MIN(100,'Hypothèses &amp; sources'!$B$12-E7*'Hypothèses &amp; sources'!$B$11))-T7)</x:f>
        <x:v>77.56</x:v>
      </x:c>
      <x:c r="T7" s="33" t="n">
        <x:v>8</x:v>
      </x:c>
    </x:row>
    <x:row r="8">
      <x:c r="A8" s="33" t="n">
        <x:v>4</x:v>
      </x:c>
      <x:c r="B8" s="38" t="str">
        <x:v>Quinoa</x:v>
      </x:c>
      <x:c r="C8" s="38" t="str">
        <x:v>Accompagnement</x:v>
      </x:c>
      <x:c r="D8" s="38" t="str">
        <x:v>quinoa, eau ou bouillon</x:v>
      </x:c>
      <x:c r="E8" s="33" t="n">
        <x:v>5</x:v>
      </x:c>
      <x:c r="F8" s="33" t="n">
        <x:v>20</x:v>
      </x:c>
      <x:c r="G8" s="56" t="n">
        <x:v>3.5</x:v>
      </x:c>
      <x:c r="H8" s="56" t="n">
        <x:v>4</x:v>
      </x:c>
      <x:c r="I8" s="33" t="n">
        <x:v>0</x:v>
      </x:c>
      <x:c r="J8" s="57" t="n">
        <x:v>2.6</x:v>
      </x:c>
      <x:c r="K8" s="57" t="n">
        <x:f>J8*'Hypothèses &amp; sources'!$E$4</x:f>
        <x:v>2.6</x:v>
      </x:c>
      <x:c r="L8" s="57" t="n">
        <x:f>J8*'Hypothèses &amp; sources'!$F$4</x:f>
        <x:v>2.7560000000000002</x:v>
      </x:c>
      <x:c r="M8" s="57" t="n">
        <x:f>J8*'Hypothèses &amp; sources'!$G$4</x:f>
        <x:v>2.8600000000000003</x:v>
      </x:c>
      <x:c r="N8" s="57" t="n">
        <x:f>J8*'Hypothèses &amp; sources'!$H$4</x:f>
        <x:v>2.8860000000000006</x:v>
      </x:c>
      <x:c r="O8" s="57" t="n">
        <x:f>J8*'Hypothèses &amp; sources'!$I$4</x:f>
        <x:v>3.224</x:v>
      </x:c>
      <x:c r="P8" s="57" t="str">
        <x:v>Lidl</x:v>
      </x:c>
      <x:c r="Q8" s="57" t="n">
        <x:f>IF(P8="Lidl",K8,IF(P8="Super U",L8,IF(P8="Carrefour",M8,IF(P8="Auchan",N8,O8))))</x:f>
        <x:v>2.6</x:v>
      </x:c>
      <x:c r="R8" s="57" t="n">
        <x:f>Q8/'Hypothèses &amp; sources'!$B$4</x:f>
        <x:v>0.65</x:v>
      </x:c>
      <x:c r="S8" s="56" t="n">
        <x:f>MAX(0,'Hypothèses &amp; sources'!$B$5*MAX(0,MIN(100,'Hypothèses &amp; sources'!$B$10-R8*'Hypothèses &amp; sources'!$B$9))+'Hypothèses &amp; sources'!$B$6*(G8/5*100)+'Hypothèses &amp; sources'!$B$7*(H8/5*100)+'Hypothèses &amp; sources'!$B$8*MAX(0,MIN(100,'Hypothèses &amp; sources'!$B$12-E8*'Hypothèses &amp; sources'!$B$11))-T8)</x:f>
        <x:v>79.88</x:v>
      </x:c>
      <x:c r="T8" s="33" t="n">
        <x:v>8</x:v>
      </x:c>
    </x:row>
    <x:row r="9">
      <x:c r="A9" s="33" t="n">
        <x:v>5</x:v>
      </x:c>
      <x:c r="B9" s="38" t="str">
        <x:v>Agua fresca fruitée</x:v>
      </x:c>
      <x:c r="C9" s="38" t="str">
        <x:v>Boisson</x:v>
      </x:c>
      <x:c r="D9" s="38" t="str">
        <x:v>fruits, eau, citron, sucre</x:v>
      </x:c>
      <x:c r="E9" s="33" t="n">
        <x:v>10</x:v>
      </x:c>
      <x:c r="F9" s="33" t="n">
        <x:v>10</x:v>
      </x:c>
      <x:c r="G9" s="56" t="n">
        <x:v>1.5</x:v>
      </x:c>
      <x:c r="H9" s="56" t="n">
        <x:v>3.5</x:v>
      </x:c>
      <x:c r="I9" s="33" t="n">
        <x:v>0</x:v>
      </x:c>
      <x:c r="J9" s="57" t="n">
        <x:v>4.5</x:v>
      </x:c>
      <x:c r="K9" s="57" t="n">
        <x:f>J9*'Hypothèses &amp; sources'!$E$4</x:f>
        <x:v>4.5</x:v>
      </x:c>
      <x:c r="L9" s="57" t="n">
        <x:f>J9*'Hypothèses &amp; sources'!$F$4</x:f>
        <x:v>4.7700000000000005</x:v>
      </x:c>
      <x:c r="M9" s="57" t="n">
        <x:f>J9*'Hypothèses &amp; sources'!$G$4</x:f>
        <x:v>4.95</x:v>
      </x:c>
      <x:c r="N9" s="57" t="n">
        <x:f>J9*'Hypothèses &amp; sources'!$H$4</x:f>
        <x:v>4.995</x:v>
      </x:c>
      <x:c r="O9" s="57" t="n">
        <x:f>J9*'Hypothèses &amp; sources'!$I$4</x:f>
        <x:v>5.58</x:v>
      </x:c>
      <x:c r="P9" s="57" t="str">
        <x:v>Lidl</x:v>
      </x:c>
      <x:c r="Q9" s="57" t="n">
        <x:f>IF(P9="Lidl",K9,IF(P9="Super U",L9,IF(P9="Carrefour",M9,IF(P9="Auchan",N9,O9))))</x:f>
        <x:v>4.5</x:v>
      </x:c>
      <x:c r="R9" s="57" t="n">
        <x:f>Q9/'Hypothèses &amp; sources'!$B$4</x:f>
        <x:v>1.125</x:v>
      </x:c>
      <x:c r="S9" s="56" t="n">
        <x:f>MAX(0,'Hypothèses &amp; sources'!$B$5*MAX(0,MIN(100,'Hypothèses &amp; sources'!$B$10-R9*'Hypothèses &amp; sources'!$B$9))+'Hypothèses &amp; sources'!$B$6*(G9/5*100)+'Hypothèses &amp; sources'!$B$7*(H9/5*100)+'Hypothèses &amp; sources'!$B$8*MAX(0,MIN(100,'Hypothèses &amp; sources'!$B$12-E9*'Hypothèses &amp; sources'!$B$11))-T9)</x:f>
        <x:v>47.09</x:v>
      </x:c>
      <x:c r="T9" s="33" t="n">
        <x:v>25</x:v>
      </x:c>
    </x:row>
    <x:row r="10">
      <x:c r="A10" s="33" t="n">
        <x:v>6</x:v>
      </x:c>
      <x:c r="B10" s="38" t="str">
        <x:v>Creamy queso</x:v>
      </x:c>
      <x:c r="C10" s="38" t="str">
        <x:v>Apéritif / tartinade</x:v>
      </x:c>
      <x:c r="D10" s="38" t="str">
        <x:v>fromage, lait ou crème, piment, tomate</x:v>
      </x:c>
      <x:c r="E10" s="33" t="n">
        <x:v>10</x:v>
      </x:c>
      <x:c r="F10" s="33" t="n">
        <x:v>15</x:v>
      </x:c>
      <x:c r="G10" s="56" t="n">
        <x:v>2.8</x:v>
      </x:c>
      <x:c r="H10" s="56" t="n">
        <x:v>2</x:v>
      </x:c>
      <x:c r="I10" s="33" t="n">
        <x:v>0</x:v>
      </x:c>
      <x:c r="J10" s="57" t="n">
        <x:v>6.5</x:v>
      </x:c>
      <x:c r="K10" s="57" t="n">
        <x:f>J10*'Hypothèses &amp; sources'!$E$4</x:f>
        <x:v>6.5</x:v>
      </x:c>
      <x:c r="L10" s="57" t="n">
        <x:f>J10*'Hypothèses &amp; sources'!$F$4</x:f>
        <x:v>6.890000000000001</x:v>
      </x:c>
      <x:c r="M10" s="57" t="n">
        <x:f>J10*'Hypothèses &amp; sources'!$G$4</x:f>
        <x:v>7.15</x:v>
      </x:c>
      <x:c r="N10" s="57" t="n">
        <x:f>J10*'Hypothèses &amp; sources'!$H$4</x:f>
        <x:v>7.215000000000001</x:v>
      </x:c>
      <x:c r="O10" s="57" t="n">
        <x:f>J10*'Hypothèses &amp; sources'!$I$4</x:f>
        <x:v>8.06</x:v>
      </x:c>
      <x:c r="P10" s="57" t="str">
        <x:v>Lidl</x:v>
      </x:c>
      <x:c r="Q10" s="57" t="n">
        <x:f>IF(P10="Lidl",K10,IF(P10="Super U",L10,IF(P10="Carrefour",M10,IF(P10="Auchan",N10,O10))))</x:f>
        <x:v>6.5</x:v>
      </x:c>
      <x:c r="R10" s="57" t="n">
        <x:f>Q10/'Hypothèses &amp; sources'!$B$4</x:f>
        <x:v>1.625</x:v>
      </x:c>
      <x:c r="S10" s="56" t="n">
        <x:f>MAX(0,'Hypothèses &amp; sources'!$B$5*MAX(0,MIN(100,'Hypothèses &amp; sources'!$B$10-R10*'Hypothèses &amp; sources'!$B$9))+'Hypothèses &amp; sources'!$B$6*(G10/5*100)+'Hypothèses &amp; sources'!$B$7*(H10/5*100)+'Hypothèses &amp; sources'!$B$8*MAX(0,MIN(100,'Hypothèses &amp; sources'!$B$12-E10*'Hypothèses &amp; sources'!$B$11))-T10)</x:f>
        <x:v>61.45</x:v>
      </x:c>
      <x:c r="T10" s="33" t="n">
        <x:v>10</x:v>
      </x:c>
    </x:row>
    <x:row r="11">
      <x:c r="A11" s="33" t="n">
        <x:v>7</x:v>
      </x:c>
      <x:c r="B11" s="38" t="str">
        <x:v>10-minute steak tacos/carne asada</x:v>
      </x:c>
      <x:c r="C11" s="38" t="str">
        <x:v>Tacos / sandwich</x:v>
      </x:c>
      <x:c r="D11" s="38" t="str">
        <x:v>tortillas ou pain, crudités, sauce, bœuf à mijoter</x:v>
      </x:c>
      <x:c r="E11" s="33" t="n">
        <x:v>10</x:v>
      </x:c>
      <x:c r="F11" s="33" t="n">
        <x:v>15</x:v>
      </x:c>
      <x:c r="G11" s="56" t="n">
        <x:v>4</x:v>
      </x:c>
      <x:c r="H11" s="56" t="n">
        <x:v>3.1</x:v>
      </x:c>
      <x:c r="I11" s="33" t="n">
        <x:v>0</x:v>
      </x:c>
      <x:c r="J11" s="57" t="n">
        <x:v>14.8</x:v>
      </x:c>
      <x:c r="K11" s="57" t="n">
        <x:f>J11*'Hypothèses &amp; sources'!$E$4</x:f>
        <x:v>14.8</x:v>
      </x:c>
      <x:c r="L11" s="57" t="n">
        <x:f>J11*'Hypothèses &amp; sources'!$F$4</x:f>
        <x:v>15.688000000000002</x:v>
      </x:c>
      <x:c r="M11" s="57" t="n">
        <x:f>J11*'Hypothèses &amp; sources'!$G$4</x:f>
        <x:v>16.28</x:v>
      </x:c>
      <x:c r="N11" s="57" t="n">
        <x:f>J11*'Hypothèses &amp; sources'!$H$4</x:f>
        <x:v>16.428</x:v>
      </x:c>
      <x:c r="O11" s="57" t="n">
        <x:f>J11*'Hypothèses &amp; sources'!$I$4</x:f>
        <x:v>18.352</x:v>
      </x:c>
      <x:c r="P11" s="57" t="str">
        <x:v>Lidl</x:v>
      </x:c>
      <x:c r="Q11" s="57" t="n">
        <x:f>IF(P11="Lidl",K11,IF(P11="Super U",L11,IF(P11="Carrefour",M11,IF(P11="Auchan",N11,O11))))</x:f>
        <x:v>14.8</x:v>
      </x:c>
      <x:c r="R11" s="57" t="n">
        <x:f>Q11/'Hypothèses &amp; sources'!$B$4</x:f>
        <x:v>3.7</x:v>
      </x:c>
      <x:c r="S11" s="56" t="n">
        <x:f>MAX(0,'Hypothèses &amp; sources'!$B$5*MAX(0,MIN(100,'Hypothèses &amp; sources'!$B$10-R11*'Hypothèses &amp; sources'!$B$9))+'Hypothèses &amp; sources'!$B$6*(G11/5*100)+'Hypothèses &amp; sources'!$B$7*(H11/5*100)+'Hypothèses &amp; sources'!$B$8*MAX(0,MIN(100,'Hypothèses &amp; sources'!$B$12-E11*'Hypothèses &amp; sources'!$B$11))-T11)</x:f>
        <x:v>71.672</x:v>
      </x:c>
      <x:c r="T11" s="33" t="n">
        <x:v>0</x:v>
      </x:c>
    </x:row>
    <x:row r="12">
      <x:c r="A12" s="33" t="n">
        <x:v>8</x:v>
      </x:c>
      <x:c r="B12" s="38" t="str">
        <x:v>Chili garlic noodles</x:v>
      </x:c>
      <x:c r="C12" s="38" t="str">
        <x:v>Nouilles / végétarien</x:v>
      </x:c>
      <x:c r="D12" s="38" t="str">
        <x:v>nouilles, ail, piment, sauce soja, huile de sésame, ciboule</x:v>
      </x:c>
      <x:c r="E12" s="33" t="n">
        <x:v>10</x:v>
      </x:c>
      <x:c r="F12" s="33" t="n">
        <x:v>20</x:v>
      </x:c>
      <x:c r="G12" s="56" t="n">
        <x:v>3.8</x:v>
      </x:c>
      <x:c r="H12" s="56" t="n">
        <x:v>3.2</x:v>
      </x:c>
      <x:c r="I12" s="33" t="n">
        <x:v>1</x:v>
      </x:c>
      <x:c r="J12" s="57" t="n">
        <x:v>4.8</x:v>
      </x:c>
      <x:c r="K12" s="57" t="n">
        <x:f>J12*'Hypothèses &amp; sources'!$E$4</x:f>
        <x:v>4.8</x:v>
      </x:c>
      <x:c r="L12" s="57" t="n">
        <x:f>J12*'Hypothèses &amp; sources'!$F$4</x:f>
        <x:v>5.088</x:v>
      </x:c>
      <x:c r="M12" s="57" t="n">
        <x:f>J12*'Hypothèses &amp; sources'!$G$4</x:f>
        <x:v>5.28</x:v>
      </x:c>
      <x:c r="N12" s="57" t="n">
        <x:f>J12*'Hypothèses &amp; sources'!$H$4</x:f>
        <x:v>5.328</x:v>
      </x:c>
      <x:c r="O12" s="57" t="n">
        <x:f>J12*'Hypothèses &amp; sources'!$I$4</x:f>
        <x:v>5.952</x:v>
      </x:c>
      <x:c r="P12" s="57" t="str">
        <x:v>Super U</x:v>
      </x:c>
      <x:c r="Q12" s="57" t="n">
        <x:f>IF(P12="Lidl",K12,IF(P12="Super U",L12,IF(P12="Carrefour",M12,IF(P12="Auchan",N12,O12))))</x:f>
        <x:v>5.088</x:v>
      </x:c>
      <x:c r="R12" s="57" t="n">
        <x:f>Q12/'Hypothèses &amp; sources'!$B$4</x:f>
        <x:v>1.272</x:v>
      </x:c>
      <x:c r="S12" s="56" t="n">
        <x:f>MAX(0,'Hypothèses &amp; sources'!$B$5*MAX(0,MIN(100,'Hypothèses &amp; sources'!$B$10-R12*'Hypothèses &amp; sources'!$B$9))+'Hypothèses &amp; sources'!$B$6*(G12/5*100)+'Hypothèses &amp; sources'!$B$7*(H12/5*100)+'Hypothèses &amp; sources'!$B$8*MAX(0,MIN(100,'Hypothèses &amp; sources'!$B$12-E12*'Hypothèses &amp; sources'!$B$11))-T12)</x:f>
        <x:v>83.14912</x:v>
      </x:c>
      <x:c r="T12" s="33" t="n">
        <x:v>0</x:v>
      </x:c>
    </x:row>
    <x:row r="13">
      <x:c r="A13" s="33" t="n">
        <x:v>9</x:v>
      </x:c>
      <x:c r="B13" s="38" t="str">
        <x:v>Chou au beurre</x:v>
      </x:c>
      <x:c r="C13" s="38" t="str">
        <x:v>Accompagnement</x:v>
      </x:c>
      <x:c r="D13" s="38" t="str">
        <x:v>chou, beurre, sel, poivre</x:v>
      </x:c>
      <x:c r="E13" s="33" t="n">
        <x:v>10</x:v>
      </x:c>
      <x:c r="F13" s="33" t="n">
        <x:v>25</x:v>
      </x:c>
      <x:c r="G13" s="56" t="n">
        <x:v>3</x:v>
      </x:c>
      <x:c r="H13" s="56" t="n">
        <x:v>3.2</x:v>
      </x:c>
      <x:c r="I13" s="33" t="n">
        <x:v>0</x:v>
      </x:c>
      <x:c r="J13" s="57" t="n">
        <x:v>3.2</x:v>
      </x:c>
      <x:c r="K13" s="57" t="n">
        <x:f>J13*'Hypothèses &amp; sources'!$E$4</x:f>
        <x:v>3.2</x:v>
      </x:c>
      <x:c r="L13" s="57" t="n">
        <x:f>J13*'Hypothèses &amp; sources'!$F$4</x:f>
        <x:v>3.3920000000000003</x:v>
      </x:c>
      <x:c r="M13" s="57" t="n">
        <x:f>J13*'Hypothèses &amp; sources'!$G$4</x:f>
        <x:v>3.5200000000000005</x:v>
      </x:c>
      <x:c r="N13" s="57" t="n">
        <x:f>J13*'Hypothèses &amp; sources'!$H$4</x:f>
        <x:v>3.5520000000000005</x:v>
      </x:c>
      <x:c r="O13" s="57" t="n">
        <x:f>J13*'Hypothèses &amp; sources'!$I$4</x:f>
        <x:v>3.968</x:v>
      </x:c>
      <x:c r="P13" s="57" t="str">
        <x:v>Lidl</x:v>
      </x:c>
      <x:c r="Q13" s="57" t="n">
        <x:f>IF(P13="Lidl",K13,IF(P13="Super U",L13,IF(P13="Carrefour",M13,IF(P13="Auchan",N13,O13))))</x:f>
        <x:v>3.2</x:v>
      </x:c>
      <x:c r="R13" s="57" t="n">
        <x:f>Q13/'Hypothèses &amp; sources'!$B$4</x:f>
        <x:v>0.8</x:v>
      </x:c>
      <x:c r="S13" s="56" t="n">
        <x:f>MAX(0,'Hypothèses &amp; sources'!$B$5*MAX(0,MIN(100,'Hypothèses &amp; sources'!$B$10-R13*'Hypothèses &amp; sources'!$B$9))+'Hypothèses &amp; sources'!$B$6*(G13/5*100)+'Hypothèses &amp; sources'!$B$7*(H13/5*100)+'Hypothèses &amp; sources'!$B$8*MAX(0,MIN(100,'Hypothèses &amp; sources'!$B$12-E13*'Hypothèses &amp; sources'!$B$11))-T13)</x:f>
        <x:v>72.88</x:v>
      </x:c>
      <x:c r="T13" s="33" t="n">
        <x:v>8</x:v>
      </x:c>
    </x:row>
    <x:row r="14">
      <x:c r="A14" s="33" t="n">
        <x:v>10</x:v>
      </x:c>
      <x:c r="B14" s="38" t="str">
        <x:v>Soupe aux champignons facile</x:v>
      </x:c>
      <x:c r="C14" s="38" t="str">
        <x:v>Soupe / bouillon</x:v>
      </x:c>
      <x:c r="D14" s="38" t="str">
        <x:v>bouillon, oignon, champignons</x:v>
      </x:c>
      <x:c r="E14" s="33" t="n">
        <x:v>10</x:v>
      </x:c>
      <x:c r="F14" s="33" t="n">
        <x:v>25</x:v>
      </x:c>
      <x:c r="G14" s="56" t="n">
        <x:v>3.2</x:v>
      </x:c>
      <x:c r="H14" s="56" t="n">
        <x:v>3.3</x:v>
      </x:c>
      <x:c r="I14" s="33" t="n">
        <x:v>0</x:v>
      </x:c>
      <x:c r="J14" s="57" t="n">
        <x:v>4.7</x:v>
      </x:c>
      <x:c r="K14" s="57" t="n">
        <x:f>J14*'Hypothèses &amp; sources'!$E$4</x:f>
        <x:v>4.7</x:v>
      </x:c>
      <x:c r="L14" s="57" t="n">
        <x:f>J14*'Hypothèses &amp; sources'!$F$4</x:f>
        <x:v>4.982</x:v>
      </x:c>
      <x:c r="M14" s="57" t="n">
        <x:f>J14*'Hypothèses &amp; sources'!$G$4</x:f>
        <x:v>5.170000000000001</x:v>
      </x:c>
      <x:c r="N14" s="57" t="n">
        <x:f>J14*'Hypothèses &amp; sources'!$H$4</x:f>
        <x:v>5.2170000000000005</x:v>
      </x:c>
      <x:c r="O14" s="57" t="n">
        <x:f>J14*'Hypothèses &amp; sources'!$I$4</x:f>
        <x:v>5.828</x:v>
      </x:c>
      <x:c r="P14" s="57" t="str">
        <x:v>Lidl</x:v>
      </x:c>
      <x:c r="Q14" s="57" t="n">
        <x:f>IF(P14="Lidl",K14,IF(P14="Super U",L14,IF(P14="Carrefour",M14,IF(P14="Auchan",N14,O14))))</x:f>
        <x:v>4.7</x:v>
      </x:c>
      <x:c r="R14" s="57" t="n">
        <x:f>Q14/'Hypothèses &amp; sources'!$B$4</x:f>
        <x:v>1.175</x:v>
      </x:c>
      <x:c r="S14" s="56" t="n">
        <x:f>MAX(0,'Hypothèses &amp; sources'!$B$5*MAX(0,MIN(100,'Hypothèses &amp; sources'!$B$10-R14*'Hypothèses &amp; sources'!$B$9))+'Hypothèses &amp; sources'!$B$6*(G14/5*100)+'Hypothèses &amp; sources'!$B$7*(H14/5*100)+'Hypothèses &amp; sources'!$B$8*MAX(0,MIN(100,'Hypothèses &amp; sources'!$B$12-E14*'Hypothèses &amp; sources'!$B$11))-T14)</x:f>
        <x:v>80.638</x:v>
      </x:c>
      <x:c r="T14" s="33" t="n">
        <x:v>0</x:v>
      </x:c>
    </x:row>
    <x:row r="15">
      <x:c r="A15" s="33" t="n">
        <x:v>11</x:v>
      </x:c>
      <x:c r="B15" s="38" t="str">
        <x:v>Trempette au fromage à la bière</x:v>
      </x:c>
      <x:c r="C15" s="38" t="str">
        <x:v>Apéritif / tartinade</x:v>
      </x:c>
      <x:c r="D15" s="38" t="str">
        <x:v>crème / fromage, bière</x:v>
      </x:c>
      <x:c r="E15" s="33" t="n">
        <x:v>10</x:v>
      </x:c>
      <x:c r="F15" s="33" t="n">
        <x:v>25</x:v>
      </x:c>
      <x:c r="G15" s="56" t="n">
        <x:v>3.5</x:v>
      </x:c>
      <x:c r="H15" s="56" t="n">
        <x:v>3</x:v>
      </x:c>
      <x:c r="I15" s="33" t="n">
        <x:v>0</x:v>
      </x:c>
      <x:c r="J15" s="57" t="n">
        <x:v>5.6</x:v>
      </x:c>
      <x:c r="K15" s="57" t="n">
        <x:f>J15*'Hypothèses &amp; sources'!$E$4</x:f>
        <x:v>5.6</x:v>
      </x:c>
      <x:c r="L15" s="57" t="n">
        <x:f>J15*'Hypothèses &amp; sources'!$F$4</x:f>
        <x:v>5.936</x:v>
      </x:c>
      <x:c r="M15" s="57" t="n">
        <x:f>J15*'Hypothèses &amp; sources'!$G$4</x:f>
        <x:v>6.16</x:v>
      </x:c>
      <x:c r="N15" s="57" t="n">
        <x:f>J15*'Hypothèses &amp; sources'!$H$4</x:f>
        <x:v>6.216</x:v>
      </x:c>
      <x:c r="O15" s="57" t="n">
        <x:f>J15*'Hypothèses &amp; sources'!$I$4</x:f>
        <x:v>6.944</x:v>
      </x:c>
      <x:c r="P15" s="57" t="str">
        <x:v>Lidl</x:v>
      </x:c>
      <x:c r="Q15" s="57" t="n">
        <x:f>IF(P15="Lidl",K15,IF(P15="Super U",L15,IF(P15="Carrefour",M15,IF(P15="Auchan",N15,O15))))</x:f>
        <x:v>5.6</x:v>
      </x:c>
      <x:c r="R15" s="57" t="n">
        <x:f>Q15/'Hypothèses &amp; sources'!$B$4</x:f>
        <x:v>1.4</x:v>
      </x:c>
      <x:c r="S15" s="56" t="n">
        <x:f>MAX(0,'Hypothèses &amp; sources'!$B$5*MAX(0,MIN(100,'Hypothèses &amp; sources'!$B$10-R15*'Hypothèses &amp; sources'!$B$9))+'Hypothèses &amp; sources'!$B$6*(G15/5*100)+'Hypothèses &amp; sources'!$B$7*(H15/5*100)+'Hypothèses &amp; sources'!$B$8*MAX(0,MIN(100,'Hypothèses &amp; sources'!$B$12-E15*'Hypothèses &amp; sources'!$B$11))-T15)</x:f>
        <x:v>70.104</x:v>
      </x:c>
      <x:c r="T15" s="33" t="n">
        <x:v>10</x:v>
      </x:c>
    </x:row>
    <x:row r="16">
      <x:c r="A16" s="33" t="n">
        <x:v>12</x:v>
      </x:c>
      <x:c r="B16" s="38" t="str">
        <x:v>Bacon &amp; sausages omelette</x:v>
      </x:c>
      <x:c r="C16" s="38" t="str">
        <x:v>Plat complet</x:v>
      </x:c>
      <x:c r="D16" s="38" t="str">
        <x:v>œufs, charcuterie / saucisse</x:v>
      </x:c>
      <x:c r="E16" s="33" t="n">
        <x:v>10</x:v>
      </x:c>
      <x:c r="F16" s="33" t="n">
        <x:v>25</x:v>
      </x:c>
      <x:c r="G16" s="56" t="n">
        <x:v>4.3</x:v>
      </x:c>
      <x:c r="H16" s="56" t="n">
        <x:v>2.7</x:v>
      </x:c>
      <x:c r="I16" s="33" t="n">
        <x:v>0</x:v>
      </x:c>
      <x:c r="J16" s="57" t="n">
        <x:v>9.8</x:v>
      </x:c>
      <x:c r="K16" s="57" t="n">
        <x:f>J16*'Hypothèses &amp; sources'!$E$4</x:f>
        <x:v>9.8</x:v>
      </x:c>
      <x:c r="L16" s="57" t="n">
        <x:f>J16*'Hypothèses &amp; sources'!$F$4</x:f>
        <x:v>10.388000000000002</x:v>
      </x:c>
      <x:c r="M16" s="57" t="n">
        <x:f>J16*'Hypothèses &amp; sources'!$G$4</x:f>
        <x:v>10.780000000000001</x:v>
      </x:c>
      <x:c r="N16" s="57" t="n">
        <x:f>J16*'Hypothèses &amp; sources'!$H$4</x:f>
        <x:v>10.878000000000002</x:v>
      </x:c>
      <x:c r="O16" s="57" t="n">
        <x:f>J16*'Hypothèses &amp; sources'!$I$4</x:f>
        <x:v>12.152000000000001</x:v>
      </x:c>
      <x:c r="P16" s="57" t="str">
        <x:v>Lidl</x:v>
      </x:c>
      <x:c r="Q16" s="57" t="n">
        <x:f>IF(P16="Lidl",K16,IF(P16="Super U",L16,IF(P16="Carrefour",M16,IF(P16="Auchan",N16,O16))))</x:f>
        <x:v>9.8</x:v>
      </x:c>
      <x:c r="R16" s="57" t="n">
        <x:f>Q16/'Hypothèses &amp; sources'!$B$4</x:f>
        <x:v>2.45</x:v>
      </x:c>
      <x:c r="S16" s="56" t="n">
        <x:f>MAX(0,'Hypothèses &amp; sources'!$B$5*MAX(0,MIN(100,'Hypothèses &amp; sources'!$B$10-R16*'Hypothèses &amp; sources'!$B$9))+'Hypothèses &amp; sources'!$B$6*(G16/5*100)+'Hypothèses &amp; sources'!$B$7*(H16/5*100)+'Hypothèses &amp; sources'!$B$8*MAX(0,MIN(100,'Hypothèses &amp; sources'!$B$12-E16*'Hypothèses &amp; sources'!$B$11))-T16)</x:f>
        <x:v>78.212</x:v>
      </x:c>
      <x:c r="T16" s="33" t="n">
        <x:v>0</x:v>
      </x:c>
    </x:row>
    <x:row r="17">
      <x:c r="A17" s="33" t="n">
        <x:v>13</x:v>
      </x:c>
      <x:c r="B17" s="38" t="str">
        <x:v>Tomato grape and rosemary baked camembert</x:v>
      </x:c>
      <x:c r="C17" s="38" t="str">
        <x:v>Apéritif / fromage</x:v>
      </x:c>
      <x:c r="D17" s="38" t="str">
        <x:v>camembert, tomates cerises, romarin, ail, pain</x:v>
      </x:c>
      <x:c r="E17" s="33" t="n">
        <x:v>10</x:v>
      </x:c>
      <x:c r="F17" s="33" t="n">
        <x:v>25</x:v>
      </x:c>
      <x:c r="G17" s="56" t="n">
        <x:v>3.4</x:v>
      </x:c>
      <x:c r="H17" s="56" t="n">
        <x:v>2.5</x:v>
      </x:c>
      <x:c r="I17" s="33" t="n">
        <x:v>0</x:v>
      </x:c>
      <x:c r="J17" s="57" t="n">
        <x:v>10.5</x:v>
      </x:c>
      <x:c r="K17" s="57" t="n">
        <x:f>J17*'Hypothèses &amp; sources'!$E$4</x:f>
        <x:v>10.5</x:v>
      </x:c>
      <x:c r="L17" s="57" t="n">
        <x:f>J17*'Hypothèses &amp; sources'!$F$4</x:f>
        <x:v>11.13</x:v>
      </x:c>
      <x:c r="M17" s="57" t="n">
        <x:f>J17*'Hypothèses &amp; sources'!$G$4</x:f>
        <x:v>11.55</x:v>
      </x:c>
      <x:c r="N17" s="57" t="n">
        <x:f>J17*'Hypothèses &amp; sources'!$H$4</x:f>
        <x:v>11.655000000000001</x:v>
      </x:c>
      <x:c r="O17" s="57" t="n">
        <x:f>J17*'Hypothèses &amp; sources'!$I$4</x:f>
        <x:v>13.02</x:v>
      </x:c>
      <x:c r="P17" s="57" t="str">
        <x:v>Lidl</x:v>
      </x:c>
      <x:c r="Q17" s="57" t="n">
        <x:f>IF(P17="Lidl",K17,IF(P17="Super U",L17,IF(P17="Carrefour",M17,IF(P17="Auchan",N17,O17))))</x:f>
        <x:v>10.5</x:v>
      </x:c>
      <x:c r="R17" s="57" t="n">
        <x:f>Q17/'Hypothèses &amp; sources'!$B$4</x:f>
        <x:v>2.625</x:v>
      </x:c>
      <x:c r="S17" s="56" t="n">
        <x:f>MAX(0,'Hypothèses &amp; sources'!$B$5*MAX(0,MIN(100,'Hypothèses &amp; sources'!$B$10-R17*'Hypothèses &amp; sources'!$B$9))+'Hypothèses &amp; sources'!$B$6*(G17/5*100)+'Hypothèses &amp; sources'!$B$7*(H17/5*100)+'Hypothèses &amp; sources'!$B$8*MAX(0,MIN(100,'Hypothèses &amp; sources'!$B$12-E17*'Hypothèses &amp; sources'!$B$11))-T17)</x:f>
        <x:v>61.57000000000001</x:v>
      </x:c>
      <x:c r="T17" s="33" t="n">
        <x:v>10</x:v>
      </x:c>
    </x:row>
    <x:row r="18">
      <x:c r="A18" s="33" t="n">
        <x:v>14</x:v>
      </x:c>
      <x:c r="B18" s="38" t="str">
        <x:v>Smoked salmon frittata</x:v>
      </x:c>
      <x:c r="C18" s="38" t="str">
        <x:v>Plat complet</x:v>
      </x:c>
      <x:c r="D18" s="38" t="str">
        <x:v>œufs, saumon fumé</x:v>
      </x:c>
      <x:c r="E18" s="33" t="n">
        <x:v>10</x:v>
      </x:c>
      <x:c r="F18" s="33" t="n">
        <x:v>25</x:v>
      </x:c>
      <x:c r="G18" s="56" t="n">
        <x:v>3.6</x:v>
      </x:c>
      <x:c r="H18" s="56" t="n">
        <x:v>3.7</x:v>
      </x:c>
      <x:c r="I18" s="33" t="n">
        <x:v>1</x:v>
      </x:c>
      <x:c r="J18" s="57" t="n">
        <x:v>10.8</x:v>
      </x:c>
      <x:c r="K18" s="57" t="n">
        <x:f>J18*'Hypothèses &amp; sources'!$E$4</x:f>
        <x:v>10.8</x:v>
      </x:c>
      <x:c r="L18" s="57" t="n">
        <x:f>J18*'Hypothèses &amp; sources'!$F$4</x:f>
        <x:v>11.448000000000002</x:v>
      </x:c>
      <x:c r="M18" s="57" t="n">
        <x:f>J18*'Hypothèses &amp; sources'!$G$4</x:f>
        <x:v>11.880000000000003</x:v>
      </x:c>
      <x:c r="N18" s="57" t="n">
        <x:f>J18*'Hypothèses &amp; sources'!$H$4</x:f>
        <x:v>11.988000000000001</x:v>
      </x:c>
      <x:c r="O18" s="57" t="n">
        <x:f>J18*'Hypothèses &amp; sources'!$I$4</x:f>
        <x:v>13.392000000000001</x:v>
      </x:c>
      <x:c r="P18" s="57" t="str">
        <x:v>Super U</x:v>
      </x:c>
      <x:c r="Q18" s="57" t="n">
        <x:f>IF(P18="Lidl",K18,IF(P18="Super U",L18,IF(P18="Carrefour",M18,IF(P18="Auchan",N18,O18))))</x:f>
        <x:v>11.448000000000002</x:v>
      </x:c>
      <x:c r="R18" s="57" t="n">
        <x:f>Q18/'Hypothèses &amp; sources'!$B$4</x:f>
        <x:v>2.8620000000000005</x:v>
      </x:c>
      <x:c r="S18" s="56" t="n">
        <x:f>MAX(0,'Hypothèses &amp; sources'!$B$5*MAX(0,MIN(100,'Hypothèses &amp; sources'!$B$10-R18*'Hypothèses &amp; sources'!$B$9))+'Hypothèses &amp; sources'!$B$6*(G18/5*100)+'Hypothèses &amp; sources'!$B$7*(H18/5*100)+'Hypothèses &amp; sources'!$B$8*MAX(0,MIN(100,'Hypothèses &amp; sources'!$B$12-E18*'Hypothèses &amp; sources'!$B$11))-T18)</x:f>
        <x:v>75.81551999999999</x:v>
      </x:c>
      <x:c r="T18" s="33" t="n">
        <x:v>0</x:v>
      </x:c>
    </x:row>
    <x:row r="19">
      <x:c r="A19" s="33" t="n">
        <x:v>15</x:v>
      </x:c>
      <x:c r="B19" s="38" t="str">
        <x:v>Shredded chicken</x:v>
      </x:c>
      <x:c r="C19" s="38" t="str">
        <x:v>Poulet / base</x:v>
      </x:c>
      <x:c r="D19" s="38" t="str">
        <x:v>poulet, bouillon, oignon, épices</x:v>
      </x:c>
      <x:c r="E19" s="33" t="n">
        <x:v>10</x:v>
      </x:c>
      <x:c r="F19" s="33" t="n">
        <x:v>35</x:v>
      </x:c>
      <x:c r="G19" s="56" t="n">
        <x:v>4.3</x:v>
      </x:c>
      <x:c r="H19" s="56" t="n">
        <x:v>3.8</x:v>
      </x:c>
      <x:c r="I19" s="33" t="n">
        <x:v>0</x:v>
      </x:c>
      <x:c r="J19" s="57" t="n">
        <x:v>8</x:v>
      </x:c>
      <x:c r="K19" s="57" t="n">
        <x:f>J19*'Hypothèses &amp; sources'!$E$4</x:f>
        <x:v>8</x:v>
      </x:c>
      <x:c r="L19" s="57" t="n">
        <x:f>J19*'Hypothèses &amp; sources'!$F$4</x:f>
        <x:v>8.48</x:v>
      </x:c>
      <x:c r="M19" s="57" t="n">
        <x:f>J19*'Hypothèses &amp; sources'!$G$4</x:f>
        <x:v>8.8</x:v>
      </x:c>
      <x:c r="N19" s="57" t="n">
        <x:f>J19*'Hypothèses &amp; sources'!$H$4</x:f>
        <x:v>8.88</x:v>
      </x:c>
      <x:c r="O19" s="57" t="n">
        <x:f>J19*'Hypothèses &amp; sources'!$I$4</x:f>
        <x:v>9.92</x:v>
      </x:c>
      <x:c r="P19" s="57" t="str">
        <x:v>Lidl</x:v>
      </x:c>
      <x:c r="Q19" s="57" t="n">
        <x:f>IF(P19="Lidl",K19,IF(P19="Super U",L19,IF(P19="Carrefour",M19,IF(P19="Auchan",N19,O19))))</x:f>
        <x:v>8</x:v>
      </x:c>
      <x:c r="R19" s="57" t="n">
        <x:f>Q19/'Hypothèses &amp; sources'!$B$4</x:f>
        <x:v>2</x:v>
      </x:c>
      <x:c r="S19" s="56" t="n">
        <x:f>MAX(0,'Hypothèses &amp; sources'!$B$5*MAX(0,MIN(100,'Hypothèses &amp; sources'!$B$10-R19*'Hypothèses &amp; sources'!$B$9))+'Hypothèses &amp; sources'!$B$6*(G19/5*100)+'Hypothèses &amp; sources'!$B$7*(H19/5*100)+'Hypothèses &amp; sources'!$B$8*MAX(0,MIN(100,'Hypothèses &amp; sources'!$B$12-E19*'Hypothèses &amp; sources'!$B$11))-T19)</x:f>
        <x:v>84.44</x:v>
      </x:c>
      <x:c r="T19" s="33" t="n">
        <x:v>0</x:v>
      </x:c>
    </x:row>
    <x:row r="20">
      <x:c r="A20" s="33" t="n">
        <x:v>16</x:v>
      </x:c>
      <x:c r="B20" s="38" t="str">
        <x:v>Easy chicken and rice</x:v>
      </x:c>
      <x:c r="C20" s="38" t="str">
        <x:v>Plat complet</x:v>
      </x:c>
      <x:c r="D20" s="38" t="str">
        <x:v>poulet, riz, bouillon, oignon, carotte, petits pois</x:v>
      </x:c>
      <x:c r="E20" s="33" t="n">
        <x:v>10</x:v>
      </x:c>
      <x:c r="F20" s="33" t="n">
        <x:v>35</x:v>
      </x:c>
      <x:c r="G20" s="56" t="n">
        <x:v>4.6</x:v>
      </x:c>
      <x:c r="H20" s="56" t="n">
        <x:v>4</x:v>
      </x:c>
      <x:c r="I20" s="33" t="n">
        <x:v>0</x:v>
      </x:c>
      <x:c r="J20" s="57" t="n">
        <x:v>8.8</x:v>
      </x:c>
      <x:c r="K20" s="57" t="n">
        <x:f>J20*'Hypothèses &amp; sources'!$E$4</x:f>
        <x:v>8.8</x:v>
      </x:c>
      <x:c r="L20" s="57" t="n">
        <x:f>J20*'Hypothèses &amp; sources'!$F$4</x:f>
        <x:v>9.328000000000001</x:v>
      </x:c>
      <x:c r="M20" s="57" t="n">
        <x:f>J20*'Hypothèses &amp; sources'!$G$4</x:f>
        <x:v>9.680000000000001</x:v>
      </x:c>
      <x:c r="N20" s="57" t="n">
        <x:f>J20*'Hypothèses &amp; sources'!$H$4</x:f>
        <x:v>9.768000000000002</x:v>
      </x:c>
      <x:c r="O20" s="57" t="n">
        <x:f>J20*'Hypothèses &amp; sources'!$I$4</x:f>
        <x:v>10.912</x:v>
      </x:c>
      <x:c r="P20" s="57" t="str">
        <x:v>Lidl</x:v>
      </x:c>
      <x:c r="Q20" s="57" t="n">
        <x:f>IF(P20="Lidl",K20,IF(P20="Super U",L20,IF(P20="Carrefour",M20,IF(P20="Auchan",N20,O20))))</x:f>
        <x:v>8.8</x:v>
      </x:c>
      <x:c r="R20" s="57" t="n">
        <x:f>Q20/'Hypothèses &amp; sources'!$B$4</x:f>
        <x:v>2.2</x:v>
      </x:c>
      <x:c r="S20" s="56" t="n">
        <x:f>MAX(0,'Hypothèses &amp; sources'!$B$5*MAX(0,MIN(100,'Hypothèses &amp; sources'!$B$10-R20*'Hypothèses &amp; sources'!$B$9))+'Hypothèses &amp; sources'!$B$6*(G20/5*100)+'Hypothèses &amp; sources'!$B$7*(H20/5*100)+'Hypothèses &amp; sources'!$B$8*MAX(0,MIN(100,'Hypothèses &amp; sources'!$B$12-E20*'Hypothèses &amp; sources'!$B$11))-T20)</x:f>
        <x:v>85.832</x:v>
      </x:c>
      <x:c r="T20" s="33" t="n">
        <x:v>0</x:v>
      </x:c>
    </x:row>
    <x:row r="21">
      <x:c r="A21" s="33" t="n">
        <x:v>17</x:v>
      </x:c>
      <x:c r="B21" s="38" t="str">
        <x:v>Dump &amp; done wild rice soup</x:v>
      </x:c>
      <x:c r="C21" s="38" t="str">
        <x:v>Soupe / végétarien</x:v>
      </x:c>
      <x:c r="D21" s="38" t="str">
        <x:v>riz sauvage, champignons, carotte, céleri, oignon, bouillon, crème</x:v>
      </x:c>
      <x:c r="E21" s="33" t="n">
        <x:v>10</x:v>
      </x:c>
      <x:c r="F21" s="33" t="n">
        <x:v>50</x:v>
      </x:c>
      <x:c r="G21" s="56" t="n">
        <x:v>4.1</x:v>
      </x:c>
      <x:c r="H21" s="56" t="n">
        <x:v>4.2</x:v>
      </x:c>
      <x:c r="I21" s="33" t="n">
        <x:v>1</x:v>
      </x:c>
      <x:c r="J21" s="57" t="n">
        <x:v>7.5</x:v>
      </x:c>
      <x:c r="K21" s="57" t="n">
        <x:f>J21*'Hypothèses &amp; sources'!$E$4</x:f>
        <x:v>7.5</x:v>
      </x:c>
      <x:c r="L21" s="57" t="n">
        <x:f>J21*'Hypothèses &amp; sources'!$F$4</x:f>
        <x:v>7.95</x:v>
      </x:c>
      <x:c r="M21" s="57" t="n">
        <x:f>J21*'Hypothèses &amp; sources'!$G$4</x:f>
        <x:v>8.25</x:v>
      </x:c>
      <x:c r="N21" s="57" t="n">
        <x:f>J21*'Hypothèses &amp; sources'!$H$4</x:f>
        <x:v>8.325000000000001</x:v>
      </x:c>
      <x:c r="O21" s="57" t="n">
        <x:f>J21*'Hypothèses &amp; sources'!$I$4</x:f>
        <x:v>9.3</x:v>
      </x:c>
      <x:c r="P21" s="57" t="str">
        <x:v>Super U</x:v>
      </x:c>
      <x:c r="Q21" s="57" t="n">
        <x:f>IF(P21="Lidl",K21,IF(P21="Super U",L21,IF(P21="Carrefour",M21,IF(P21="Auchan",N21,O21))))</x:f>
        <x:v>7.95</x:v>
      </x:c>
      <x:c r="R21" s="57" t="n">
        <x:f>Q21/'Hypothèses &amp; sources'!$B$4</x:f>
        <x:v>1.9875</x:v>
      </x:c>
      <x:c r="S21" s="56" t="n">
        <x:f>MAX(0,'Hypothèses &amp; sources'!$B$5*MAX(0,MIN(100,'Hypothèses &amp; sources'!$B$10-R21*'Hypothèses &amp; sources'!$B$9))+'Hypothèses &amp; sources'!$B$6*(G21/5*100)+'Hypothèses &amp; sources'!$B$7*(H21/5*100)+'Hypothèses &amp; sources'!$B$8*MAX(0,MIN(100,'Hypothèses &amp; sources'!$B$12-E21*'Hypothèses &amp; sources'!$B$11))-T21)</x:f>
        <x:v>84.82300000000001</x:v>
      </x:c>
      <x:c r="T21" s="33" t="n">
        <x:v>0</x:v>
      </x:c>
    </x:row>
    <x:row r="22">
      <x:c r="A22" s="33" t="n">
        <x:v>18</x:v>
      </x:c>
      <x:c r="B22" s="38" t="str">
        <x:v>Peanut butter fudge</x:v>
      </x:c>
      <x:c r="C22" s="38" t="str">
        <x:v>Dessert</x:v>
      </x:c>
      <x:c r="D22" s="38" t="str">
        <x:v>beurre de cacahuète, sucre, beurre</x:v>
      </x:c>
      <x:c r="E22" s="33" t="n">
        <x:v>10</x:v>
      </x:c>
      <x:c r="F22" s="33" t="n">
        <x:v>70</x:v>
      </x:c>
      <x:c r="G22" s="56" t="n">
        <x:v>2.5</x:v>
      </x:c>
      <x:c r="H22" s="56" t="n">
        <x:v>1.5</x:v>
      </x:c>
      <x:c r="I22" s="33" t="n">
        <x:v>0</x:v>
      </x:c>
      <x:c r="J22" s="57" t="n">
        <x:v>5.5</x:v>
      </x:c>
      <x:c r="K22" s="57" t="n">
        <x:f>J22*'Hypothèses &amp; sources'!$E$4</x:f>
        <x:v>5.5</x:v>
      </x:c>
      <x:c r="L22" s="57" t="n">
        <x:f>J22*'Hypothèses &amp; sources'!$F$4</x:f>
        <x:v>5.83</x:v>
      </x:c>
      <x:c r="M22" s="57" t="n">
        <x:f>J22*'Hypothèses &amp; sources'!$G$4</x:f>
        <x:v>6.050000000000001</x:v>
      </x:c>
      <x:c r="N22" s="57" t="n">
        <x:f>J22*'Hypothèses &amp; sources'!$H$4</x:f>
        <x:v>6.105</x:v>
      </x:c>
      <x:c r="O22" s="57" t="n">
        <x:f>J22*'Hypothèses &amp; sources'!$I$4</x:f>
        <x:v>6.82</x:v>
      </x:c>
      <x:c r="P22" s="57" t="str">
        <x:v>Lidl</x:v>
      </x:c>
      <x:c r="Q22" s="57" t="n">
        <x:f>IF(P22="Lidl",K22,IF(P22="Super U",L22,IF(P22="Carrefour",M22,IF(P22="Auchan",N22,O22))))</x:f>
        <x:v>5.5</x:v>
      </x:c>
      <x:c r="R22" s="57" t="n">
        <x:f>Q22/'Hypothèses &amp; sources'!$B$4</x:f>
        <x:v>1.375</x:v>
      </x:c>
      <x:c r="S22" s="56" t="n">
        <x:f>MAX(0,'Hypothèses &amp; sources'!$B$5*MAX(0,MIN(100,'Hypothèses &amp; sources'!$B$10-R22*'Hypothèses &amp; sources'!$B$9))+'Hypothèses &amp; sources'!$B$6*(G22/5*100)+'Hypothèses &amp; sources'!$B$7*(H22/5*100)+'Hypothèses &amp; sources'!$B$8*MAX(0,MIN(100,'Hypothèses &amp; sources'!$B$12-E22*'Hypothèses &amp; sources'!$B$11))-T22)</x:f>
        <x:v>57.22999999999999</x:v>
      </x:c>
      <x:c r="T22" s="33" t="n">
        <x:v>12</x:v>
      </x:c>
    </x:row>
    <x:row r="23">
      <x:c r="A23" s="33" t="n">
        <x:v>19</x:v>
      </x:c>
      <x:c r="B23" s="38" t="str">
        <x:v>Salade de betterave koshimbir/betteraves</x:v>
      </x:c>
      <x:c r="C23" s="38" t="str">
        <x:v>Salade / accompagnement</x:v>
      </x:c>
      <x:c r="D23" s="38" t="str">
        <x:v>betteraves</x:v>
      </x:c>
      <x:c r="E23" s="33" t="n">
        <x:v>15</x:v>
      </x:c>
      <x:c r="F23" s="33" t="n">
        <x:v>15</x:v>
      </x:c>
      <x:c r="G23" s="56" t="n">
        <x:v>3.2</x:v>
      </x:c>
      <x:c r="H23" s="56" t="n">
        <x:v>3.5</x:v>
      </x:c>
      <x:c r="I23" s="33" t="n">
        <x:v>0</x:v>
      </x:c>
      <x:c r="J23" s="57" t="n">
        <x:v>2.5</x:v>
      </x:c>
      <x:c r="K23" s="57" t="n">
        <x:f>J23*'Hypothèses &amp; sources'!$E$4</x:f>
        <x:v>2.5</x:v>
      </x:c>
      <x:c r="L23" s="57" t="n">
        <x:f>J23*'Hypothèses &amp; sources'!$F$4</x:f>
        <x:v>2.6500000000000004</x:v>
      </x:c>
      <x:c r="M23" s="57" t="n">
        <x:f>J23*'Hypothèses &amp; sources'!$G$4</x:f>
        <x:v>2.75</x:v>
      </x:c>
      <x:c r="N23" s="57" t="n">
        <x:f>J23*'Hypothèses &amp; sources'!$H$4</x:f>
        <x:v>2.7750000000000004</x:v>
      </x:c>
      <x:c r="O23" s="57" t="n">
        <x:f>J23*'Hypothèses &amp; sources'!$I$4</x:f>
        <x:v>3.1</x:v>
      </x:c>
      <x:c r="P23" s="57" t="str">
        <x:v>Lidl</x:v>
      </x:c>
      <x:c r="Q23" s="57" t="n">
        <x:f>IF(P23="Lidl",K23,IF(P23="Super U",L23,IF(P23="Carrefour",M23,IF(P23="Auchan",N23,O23))))</x:f>
        <x:v>2.5</x:v>
      </x:c>
      <x:c r="R23" s="57" t="n">
        <x:f>Q23/'Hypothèses &amp; sources'!$B$4</x:f>
        <x:v>0.625</x:v>
      </x:c>
      <x:c r="S23" s="56" t="n">
        <x:f>MAX(0,'Hypothèses &amp; sources'!$B$5*MAX(0,MIN(100,'Hypothèses &amp; sources'!$B$10-R23*'Hypothèses &amp; sources'!$B$9))+'Hypothèses &amp; sources'!$B$6*(G23/5*100)+'Hypothèses &amp; sources'!$B$7*(H23/5*100)+'Hypothèses &amp; sources'!$B$8*MAX(0,MIN(100,'Hypothèses &amp; sources'!$B$12-E23*'Hypothèses &amp; sources'!$B$11))-T23)</x:f>
        <x:v>73.75999999999999</x:v>
      </x:c>
      <x:c r="T23" s="33" t="n">
        <x:v>8</x:v>
      </x:c>
    </x:row>
    <x:row r="24">
      <x:c r="A24" s="33" t="n">
        <x:v>20</x:v>
      </x:c>
      <x:c r="B24" s="38" t="str">
        <x:v>Pico de gallo verde</x:v>
      </x:c>
      <x:c r="C24" s="38" t="str">
        <x:v>Sauce / condiment</x:v>
      </x:c>
      <x:c r="D24" s="38" t="str">
        <x:v>tomatilles ou tomates vertes, oignon, piment, coriandre, citron vert</x:v>
      </x:c>
      <x:c r="E24" s="33" t="n">
        <x:v>15</x:v>
      </x:c>
      <x:c r="F24" s="33" t="n">
        <x:v>15</x:v>
      </x:c>
      <x:c r="G24" s="56" t="n">
        <x:v>1.5</x:v>
      </x:c>
      <x:c r="H24" s="56" t="n">
        <x:v>4.5</x:v>
      </x:c>
      <x:c r="I24" s="33" t="n">
        <x:v>2</x:v>
      </x:c>
      <x:c r="J24" s="57" t="n">
        <x:v>4.5</x:v>
      </x:c>
      <x:c r="K24" s="57" t="n">
        <x:f>J24*'Hypothèses &amp; sources'!$E$4</x:f>
        <x:v>4.5</x:v>
      </x:c>
      <x:c r="L24" s="57" t="n">
        <x:f>J24*'Hypothèses &amp; sources'!$F$4</x:f>
        <x:v>4.7700000000000005</x:v>
      </x:c>
      <x:c r="M24" s="57" t="n">
        <x:f>J24*'Hypothèses &amp; sources'!$G$4</x:f>
        <x:v>4.95</x:v>
      </x:c>
      <x:c r="N24" s="57" t="n">
        <x:f>J24*'Hypothèses &amp; sources'!$H$4</x:f>
        <x:v>4.995</x:v>
      </x:c>
      <x:c r="O24" s="57" t="n">
        <x:f>J24*'Hypothèses &amp; sources'!$I$4</x:f>
        <x:v>5.58</x:v>
      </x:c>
      <x:c r="P24" s="57" t="str">
        <x:v>Carrefour</x:v>
      </x:c>
      <x:c r="Q24" s="57" t="n">
        <x:f>IF(P24="Lidl",K24,IF(P24="Super U",L24,IF(P24="Carrefour",M24,IF(P24="Auchan",N24,O24))))</x:f>
        <x:v>4.95</x:v>
      </x:c>
      <x:c r="R24" s="57" t="n">
        <x:f>Q24/'Hypothèses &amp; sources'!$B$4</x:f>
        <x:v>1.2375</x:v>
      </x:c>
      <x:c r="S24" s="56" t="n">
        <x:f>MAX(0,'Hypothèses &amp; sources'!$B$5*MAX(0,MIN(100,'Hypothèses &amp; sources'!$B$10-R24*'Hypothèses &amp; sources'!$B$9))+'Hypothèses &amp; sources'!$B$6*(G24/5*100)+'Hypothèses &amp; sources'!$B$7*(H24/5*100)+'Hypothèses &amp; sources'!$B$8*MAX(0,MIN(100,'Hypothèses &amp; sources'!$B$12-E24*'Hypothèses &amp; sources'!$B$11))-T24)</x:f>
        <x:v>55.803</x:v>
      </x:c>
      <x:c r="T24" s="33" t="n">
        <x:v>18</x:v>
      </x:c>
    </x:row>
    <x:row r="25">
      <x:c r="A25" s="33" t="n">
        <x:v>21</x:v>
      </x:c>
      <x:c r="B25" s="38" t="str">
        <x:v>Easter eggs</x:v>
      </x:c>
      <x:c r="C25" s="38" t="str">
        <x:v>Œufs / snack</x:v>
      </x:c>
      <x:c r="D25" s="38" t="str">
        <x:v>œufs, colorant alimentaire</x:v>
      </x:c>
      <x:c r="E25" s="33" t="n">
        <x:v>15</x:v>
      </x:c>
      <x:c r="F25" s="33" t="n">
        <x:v>25</x:v>
      </x:c>
      <x:c r="G25" s="56" t="n">
        <x:v>3</x:v>
      </x:c>
      <x:c r="H25" s="56" t="n">
        <x:v>3</x:v>
      </x:c>
      <x:c r="I25" s="33" t="n">
        <x:v>0</x:v>
      </x:c>
      <x:c r="J25" s="57" t="n">
        <x:v>4</x:v>
      </x:c>
      <x:c r="K25" s="57" t="n">
        <x:f>J25*'Hypothèses &amp; sources'!$E$4</x:f>
        <x:v>4</x:v>
      </x:c>
      <x:c r="L25" s="57" t="n">
        <x:f>J25*'Hypothèses &amp; sources'!$F$4</x:f>
        <x:v>4.24</x:v>
      </x:c>
      <x:c r="M25" s="57" t="n">
        <x:f>J25*'Hypothèses &amp; sources'!$G$4</x:f>
        <x:v>4.4</x:v>
      </x:c>
      <x:c r="N25" s="57" t="n">
        <x:f>J25*'Hypothèses &amp; sources'!$H$4</x:f>
        <x:v>4.44</x:v>
      </x:c>
      <x:c r="O25" s="57" t="n">
        <x:f>J25*'Hypothèses &amp; sources'!$I$4</x:f>
        <x:v>4.96</x:v>
      </x:c>
      <x:c r="P25" s="57" t="str">
        <x:v>Lidl</x:v>
      </x:c>
      <x:c r="Q25" s="57" t="n">
        <x:f>IF(P25="Lidl",K25,IF(P25="Super U",L25,IF(P25="Carrefour",M25,IF(P25="Auchan",N25,O25))))</x:f>
        <x:v>4</x:v>
      </x:c>
      <x:c r="R25" s="57" t="n">
        <x:f>Q25/'Hypothèses &amp; sources'!$B$4</x:f>
        <x:v>1</x:v>
      </x:c>
      <x:c r="S25" s="56" t="n">
        <x:f>MAX(0,'Hypothèses &amp; sources'!$B$5*MAX(0,MIN(100,'Hypothèses &amp; sources'!$B$10-R25*'Hypothèses &amp; sources'!$B$9))+'Hypothèses &amp; sources'!$B$6*(G25/5*100)+'Hypothèses &amp; sources'!$B$7*(H25/5*100)+'Hypothèses &amp; sources'!$B$8*MAX(0,MIN(100,'Hypothèses &amp; sources'!$B$12-E25*'Hypothèses &amp; sources'!$B$11))-T25)</x:f>
        <x:v>67.99999999999999</x:v>
      </x:c>
      <x:c r="T25" s="33" t="n">
        <x:v>10</x:v>
      </x:c>
    </x:row>
    <x:row r="26">
      <x:c r="A26" s="33" t="n">
        <x:v>22</x:v>
      </x:c>
      <x:c r="B26" s="38" t="str">
        <x:v>Beets with goat cheese</x:v>
      </x:c>
      <x:c r="C26" s="38" t="str">
        <x:v>Salade / accompagnement</x:v>
      </x:c>
      <x:c r="D26" s="38" t="str">
        <x:v>betteraves, fromage de chèvre, noix, roquette, vinaigrette</x:v>
      </x:c>
      <x:c r="E26" s="33" t="n">
        <x:v>15</x:v>
      </x:c>
      <x:c r="F26" s="33" t="n">
        <x:v>25</x:v>
      </x:c>
      <x:c r="G26" s="56" t="n">
        <x:v>3.4</x:v>
      </x:c>
      <x:c r="H26" s="56" t="n">
        <x:v>4.2</x:v>
      </x:c>
      <x:c r="I26" s="33" t="n">
        <x:v>0</x:v>
      </x:c>
      <x:c r="J26" s="57" t="n">
        <x:v>7</x:v>
      </x:c>
      <x:c r="K26" s="57" t="n">
        <x:f>J26*'Hypothèses &amp; sources'!$E$4</x:f>
        <x:v>7</x:v>
      </x:c>
      <x:c r="L26" s="57" t="n">
        <x:f>J26*'Hypothèses &amp; sources'!$F$4</x:f>
        <x:v>7.42</x:v>
      </x:c>
      <x:c r="M26" s="57" t="n">
        <x:f>J26*'Hypothèses &amp; sources'!$G$4</x:f>
        <x:v>7.700000000000001</x:v>
      </x:c>
      <x:c r="N26" s="57" t="n">
        <x:f>J26*'Hypothèses &amp; sources'!$H$4</x:f>
        <x:v>7.7700000000000005</x:v>
      </x:c>
      <x:c r="O26" s="57" t="n">
        <x:f>J26*'Hypothèses &amp; sources'!$I$4</x:f>
        <x:v>8.68</x:v>
      </x:c>
      <x:c r="P26" s="57" t="str">
        <x:v>Lidl</x:v>
      </x:c>
      <x:c r="Q26" s="57" t="n">
        <x:f>IF(P26="Lidl",K26,IF(P26="Super U",L26,IF(P26="Carrefour",M26,IF(P26="Auchan",N26,O26))))</x:f>
        <x:v>7</x:v>
      </x:c>
      <x:c r="R26" s="57" t="n">
        <x:f>Q26/'Hypothèses &amp; sources'!$B$4</x:f>
        <x:v>1.75</x:v>
      </x:c>
      <x:c r="S26" s="56" t="n">
        <x:f>MAX(0,'Hypothèses &amp; sources'!$B$5*MAX(0,MIN(100,'Hypothèses &amp; sources'!$B$10-R26*'Hypothèses &amp; sources'!$B$9))+'Hypothèses &amp; sources'!$B$6*(G26/5*100)+'Hypothèses &amp; sources'!$B$7*(H26/5*100)+'Hypothèses &amp; sources'!$B$8*MAX(0,MIN(100,'Hypothèses &amp; sources'!$B$12-E26*'Hypothèses &amp; sources'!$B$11))-T26)</x:f>
        <x:v>75.78</x:v>
      </x:c>
      <x:c r="T26" s="33" t="n">
        <x:v>5</x:v>
      </x:c>
    </x:row>
    <x:row r="27">
      <x:c r="A27" s="33" t="n">
        <x:v>23</x:v>
      </x:c>
      <x:c r="B27" s="38" t="str">
        <x:v>Purée de pomme de terre</x:v>
      </x:c>
      <x:c r="C27" s="38" t="str">
        <x:v>Accompagnement</x:v>
      </x:c>
      <x:c r="D27" s="38" t="str">
        <x:v>pommes de terre, lait, beurre</x:v>
      </x:c>
      <x:c r="E27" s="33" t="n">
        <x:v>15</x:v>
      </x:c>
      <x:c r="F27" s="33" t="n">
        <x:v>30</x:v>
      </x:c>
      <x:c r="G27" s="56" t="n">
        <x:v>4</x:v>
      </x:c>
      <x:c r="H27" s="56" t="n">
        <x:v>3.2</x:v>
      </x:c>
      <x:c r="I27" s="33" t="n">
        <x:v>0</x:v>
      </x:c>
      <x:c r="J27" s="57" t="n">
        <x:v>3.8</x:v>
      </x:c>
      <x:c r="K27" s="57" t="n">
        <x:f>J27*'Hypothèses &amp; sources'!$E$4</x:f>
        <x:v>3.8</x:v>
      </x:c>
      <x:c r="L27" s="57" t="n">
        <x:f>J27*'Hypothèses &amp; sources'!$F$4</x:f>
        <x:v>4.028</x:v>
      </x:c>
      <x:c r="M27" s="57" t="n">
        <x:f>J27*'Hypothèses &amp; sources'!$G$4</x:f>
        <x:v>4.18</x:v>
      </x:c>
      <x:c r="N27" s="57" t="n">
        <x:f>J27*'Hypothèses &amp; sources'!$H$4</x:f>
        <x:v>4.218</x:v>
      </x:c>
      <x:c r="O27" s="57" t="n">
        <x:f>J27*'Hypothèses &amp; sources'!$I$4</x:f>
        <x:v>4.712</x:v>
      </x:c>
      <x:c r="P27" s="57" t="str">
        <x:v>Lidl</x:v>
      </x:c>
      <x:c r="Q27" s="57" t="n">
        <x:f>IF(P27="Lidl",K27,IF(P27="Super U",L27,IF(P27="Carrefour",M27,IF(P27="Auchan",N27,O27))))</x:f>
        <x:v>3.8</x:v>
      </x:c>
      <x:c r="R27" s="57" t="n">
        <x:f>Q27/'Hypothèses &amp; sources'!$B$4</x:f>
        <x:v>0.95</x:v>
      </x:c>
      <x:c r="S27" s="56" t="n">
        <x:f>MAX(0,'Hypothèses &amp; sources'!$B$5*MAX(0,MIN(100,'Hypothèses &amp; sources'!$B$10-R27*'Hypothèses &amp; sources'!$B$9))+'Hypothèses &amp; sources'!$B$6*(G27/5*100)+'Hypothèses &amp; sources'!$B$7*(H27/5*100)+'Hypothèses &amp; sources'!$B$8*MAX(0,MIN(100,'Hypothèses &amp; sources'!$B$12-E27*'Hypothèses &amp; sources'!$B$11))-T27)</x:f>
        <x:v>76.57199999999999</x:v>
      </x:c>
      <x:c r="T27" s="33" t="n">
        <x:v>8</x:v>
      </x:c>
    </x:row>
    <x:row r="28">
      <x:c r="A28" s="33" t="n">
        <x:v>24</x:v>
      </x:c>
      <x:c r="B28" s="38" t="str">
        <x:v>Homestyle buttery mashed potatoes</x:v>
      </x:c>
      <x:c r="C28" s="38" t="str">
        <x:v>Accompagnement</x:v>
      </x:c>
      <x:c r="D28" s="38" t="str">
        <x:v>pommes de terre, lait, beurre, sel, poivre</x:v>
      </x:c>
      <x:c r="E28" s="33" t="n">
        <x:v>15</x:v>
      </x:c>
      <x:c r="F28" s="33" t="n">
        <x:v>30</x:v>
      </x:c>
      <x:c r="G28" s="56" t="n">
        <x:v>4</x:v>
      </x:c>
      <x:c r="H28" s="56" t="n">
        <x:v>2.8</x:v>
      </x:c>
      <x:c r="I28" s="33" t="n">
        <x:v>0</x:v>
      </x:c>
      <x:c r="J28" s="57" t="n">
        <x:v>4.2</x:v>
      </x:c>
      <x:c r="K28" s="57" t="n">
        <x:f>J28*'Hypothèses &amp; sources'!$E$4</x:f>
        <x:v>4.2</x:v>
      </x:c>
      <x:c r="L28" s="57" t="n">
        <x:f>J28*'Hypothèses &amp; sources'!$F$4</x:f>
        <x:v>4.452000000000001</x:v>
      </x:c>
      <x:c r="M28" s="57" t="n">
        <x:f>J28*'Hypothèses &amp; sources'!$G$4</x:f>
        <x:v>4.620000000000001</x:v>
      </x:c>
      <x:c r="N28" s="57" t="n">
        <x:f>J28*'Hypothèses &amp; sources'!$H$4</x:f>
        <x:v>4.662000000000001</x:v>
      </x:c>
      <x:c r="O28" s="57" t="n">
        <x:f>J28*'Hypothèses &amp; sources'!$I$4</x:f>
        <x:v>5.208</x:v>
      </x:c>
      <x:c r="P28" s="57" t="str">
        <x:v>Lidl</x:v>
      </x:c>
      <x:c r="Q28" s="57" t="n">
        <x:f>IF(P28="Lidl",K28,IF(P28="Super U",L28,IF(P28="Carrefour",M28,IF(P28="Auchan",N28,O28))))</x:f>
        <x:v>4.2</x:v>
      </x:c>
      <x:c r="R28" s="57" t="n">
        <x:f>Q28/'Hypothèses &amp; sources'!$B$4</x:f>
        <x:v>1.05</x:v>
      </x:c>
      <x:c r="S28" s="56" t="n">
        <x:f>MAX(0,'Hypothèses &amp; sources'!$B$5*MAX(0,MIN(100,'Hypothèses &amp; sources'!$B$10-R28*'Hypothèses &amp; sources'!$B$9))+'Hypothèses &amp; sources'!$B$6*(G28/5*100)+'Hypothèses &amp; sources'!$B$7*(H28/5*100)+'Hypothèses &amp; sources'!$B$8*MAX(0,MIN(100,'Hypothèses &amp; sources'!$B$12-E28*'Hypothèses &amp; sources'!$B$11))-T28)</x:f>
        <x:v>74.628</x:v>
      </x:c>
      <x:c r="T28" s="33" t="n">
        <x:v>8</x:v>
      </x:c>
    </x:row>
    <x:row r="29">
      <x:c r="A29" s="33" t="n">
        <x:v>25</x:v>
      </x:c>
      <x:c r="B29" s="38" t="str">
        <x:v>Purée de patates douces</x:v>
      </x:c>
      <x:c r="C29" s="38" t="str">
        <x:v>Accompagnement</x:v>
      </x:c>
      <x:c r="D29" s="38" t="str">
        <x:v>patates douces, beurre ou huile</x:v>
      </x:c>
      <x:c r="E29" s="33" t="n">
        <x:v>15</x:v>
      </x:c>
      <x:c r="F29" s="33" t="n">
        <x:v>30</x:v>
      </x:c>
      <x:c r="G29" s="56" t="n">
        <x:v>4</x:v>
      </x:c>
      <x:c r="H29" s="56" t="n">
        <x:v>3.7</x:v>
      </x:c>
      <x:c r="I29" s="33" t="n">
        <x:v>0</x:v>
      </x:c>
      <x:c r="J29" s="57" t="n">
        <x:v>4.5</x:v>
      </x:c>
      <x:c r="K29" s="57" t="n">
        <x:f>J29*'Hypothèses &amp; sources'!$E$4</x:f>
        <x:v>4.5</x:v>
      </x:c>
      <x:c r="L29" s="57" t="n">
        <x:f>J29*'Hypothèses &amp; sources'!$F$4</x:f>
        <x:v>4.7700000000000005</x:v>
      </x:c>
      <x:c r="M29" s="57" t="n">
        <x:f>J29*'Hypothèses &amp; sources'!$G$4</x:f>
        <x:v>4.95</x:v>
      </x:c>
      <x:c r="N29" s="57" t="n">
        <x:f>J29*'Hypothèses &amp; sources'!$H$4</x:f>
        <x:v>4.995</x:v>
      </x:c>
      <x:c r="O29" s="57" t="n">
        <x:f>J29*'Hypothèses &amp; sources'!$I$4</x:f>
        <x:v>5.58</x:v>
      </x:c>
      <x:c r="P29" s="57" t="str">
        <x:v>Lidl</x:v>
      </x:c>
      <x:c r="Q29" s="57" t="n">
        <x:f>IF(P29="Lidl",K29,IF(P29="Super U",L29,IF(P29="Carrefour",M29,IF(P29="Auchan",N29,O29))))</x:f>
        <x:v>4.5</x:v>
      </x:c>
      <x:c r="R29" s="57" t="n">
        <x:f>Q29/'Hypothèses &amp; sources'!$B$4</x:f>
        <x:v>1.125</x:v>
      </x:c>
      <x:c r="S29" s="56" t="n">
        <x:f>MAX(0,'Hypothèses &amp; sources'!$B$5*MAX(0,MIN(100,'Hypothèses &amp; sources'!$B$10-R29*'Hypothèses &amp; sources'!$B$9))+'Hypothèses &amp; sources'!$B$6*(G29/5*100)+'Hypothèses &amp; sources'!$B$7*(H29/5*100)+'Hypothèses &amp; sources'!$B$8*MAX(0,MIN(100,'Hypothèses &amp; sources'!$B$12-E29*'Hypothèses &amp; sources'!$B$11))-T29)</x:f>
        <x:v>77.49</x:v>
      </x:c>
      <x:c r="T29" s="33" t="n">
        <x:v>8</x:v>
      </x:c>
    </x:row>
    <x:row r="30">
      <x:c r="A30" s="33" t="n">
        <x:v>26</x:v>
      </x:c>
      <x:c r="B30" s="38" t="str">
        <x:v>Copie conforme du riz pilaf du moyen-orient</x:v>
      </x:c>
      <x:c r="C30" s="38" t="str">
        <x:v>Riz / accompagnement</x:v>
      </x:c>
      <x:c r="D30" s="38" t="str">
        <x:v>riz, vermicelles, oignon, bouillon, beurre, épices</x:v>
      </x:c>
      <x:c r="E30" s="33" t="n">
        <x:v>15</x:v>
      </x:c>
      <x:c r="F30" s="33" t="n">
        <x:v>30</x:v>
      </x:c>
      <x:c r="G30" s="56" t="n">
        <x:v>3.7</x:v>
      </x:c>
      <x:c r="H30" s="56" t="n">
        <x:v>3.4</x:v>
      </x:c>
      <x:c r="I30" s="33" t="n">
        <x:v>0</x:v>
      </x:c>
      <x:c r="J30" s="57" t="n">
        <x:v>4.8</x:v>
      </x:c>
      <x:c r="K30" s="57" t="n">
        <x:f>J30*'Hypothèses &amp; sources'!$E$4</x:f>
        <x:v>4.8</x:v>
      </x:c>
      <x:c r="L30" s="57" t="n">
        <x:f>J30*'Hypothèses &amp; sources'!$F$4</x:f>
        <x:v>5.088</x:v>
      </x:c>
      <x:c r="M30" s="57" t="n">
        <x:f>J30*'Hypothèses &amp; sources'!$G$4</x:f>
        <x:v>5.28</x:v>
      </x:c>
      <x:c r="N30" s="57" t="n">
        <x:f>J30*'Hypothèses &amp; sources'!$H$4</x:f>
        <x:v>5.328</x:v>
      </x:c>
      <x:c r="O30" s="57" t="n">
        <x:f>J30*'Hypothèses &amp; sources'!$I$4</x:f>
        <x:v>5.952</x:v>
      </x:c>
      <x:c r="P30" s="57" t="str">
        <x:v>Lidl</x:v>
      </x:c>
      <x:c r="Q30" s="57" t="n">
        <x:f>IF(P30="Lidl",K30,IF(P30="Super U",L30,IF(P30="Carrefour",M30,IF(P30="Auchan",N30,O30))))</x:f>
        <x:v>4.8</x:v>
      </x:c>
      <x:c r="R30" s="57" t="n">
        <x:f>Q30/'Hypothèses &amp; sources'!$B$4</x:f>
        <x:v>1.2</x:v>
      </x:c>
      <x:c r="S30" s="56" t="n">
        <x:f>MAX(0,'Hypothèses &amp; sources'!$B$5*MAX(0,MIN(100,'Hypothèses &amp; sources'!$B$10-R30*'Hypothèses &amp; sources'!$B$9))+'Hypothèses &amp; sources'!$B$6*(G30/5*100)+'Hypothèses &amp; sources'!$B$7*(H30/5*100)+'Hypothèses &amp; sources'!$B$8*MAX(0,MIN(100,'Hypothèses &amp; sources'!$B$12-E30*'Hypothèses &amp; sources'!$B$11))-T30)</x:f>
        <x:v>74.35199999999999</x:v>
      </x:c>
      <x:c r="T30" s="33" t="n">
        <x:v>8</x:v>
      </x:c>
    </x:row>
    <x:row r="31">
      <x:c r="A31" s="33" t="n">
        <x:v>27</x:v>
      </x:c>
      <x:c r="B31" s="38" t="str">
        <x:v>Macaroni and cheese</x:v>
      </x:c>
      <x:c r="C31" s="38" t="str">
        <x:v>Pâtes / fromage</x:v>
      </x:c>
      <x:c r="D31" s="38" t="str">
        <x:v>macaroni, cheddar, lait, beurre, farine, moutarde</x:v>
      </x:c>
      <x:c r="E31" s="33" t="n">
        <x:v>15</x:v>
      </x:c>
      <x:c r="F31" s="33" t="n">
        <x:v>30</x:v>
      </x:c>
      <x:c r="G31" s="56" t="n">
        <x:v>4.3</x:v>
      </x:c>
      <x:c r="H31" s="56" t="n">
        <x:v>2.4</x:v>
      </x:c>
      <x:c r="I31" s="33" t="n">
        <x:v>0</x:v>
      </x:c>
      <x:c r="J31" s="57" t="n">
        <x:v>6.5</x:v>
      </x:c>
      <x:c r="K31" s="57" t="n">
        <x:f>J31*'Hypothèses &amp; sources'!$E$4</x:f>
        <x:v>6.5</x:v>
      </x:c>
      <x:c r="L31" s="57" t="n">
        <x:f>J31*'Hypothèses &amp; sources'!$F$4</x:f>
        <x:v>6.890000000000001</x:v>
      </x:c>
      <x:c r="M31" s="57" t="n">
        <x:f>J31*'Hypothèses &amp; sources'!$G$4</x:f>
        <x:v>7.15</x:v>
      </x:c>
      <x:c r="N31" s="57" t="n">
        <x:f>J31*'Hypothèses &amp; sources'!$H$4</x:f>
        <x:v>7.215000000000001</x:v>
      </x:c>
      <x:c r="O31" s="57" t="n">
        <x:f>J31*'Hypothèses &amp; sources'!$I$4</x:f>
        <x:v>8.06</x:v>
      </x:c>
      <x:c r="P31" s="57" t="str">
        <x:v>Lidl</x:v>
      </x:c>
      <x:c r="Q31" s="57" t="n">
        <x:f>IF(P31="Lidl",K31,IF(P31="Super U",L31,IF(P31="Carrefour",M31,IF(P31="Auchan",N31,O31))))</x:f>
        <x:v>6.5</x:v>
      </x:c>
      <x:c r="R31" s="57" t="n">
        <x:f>Q31/'Hypothèses &amp; sources'!$B$4</x:f>
        <x:v>1.625</x:v>
      </x:c>
      <x:c r="S31" s="56" t="n">
        <x:f>MAX(0,'Hypothèses &amp; sources'!$B$5*MAX(0,MIN(100,'Hypothèses &amp; sources'!$B$10-R31*'Hypothèses &amp; sources'!$B$9))+'Hypothèses &amp; sources'!$B$6*(G31/5*100)+'Hypothèses &amp; sources'!$B$7*(H31/5*100)+'Hypothèses &amp; sources'!$B$8*MAX(0,MIN(100,'Hypothèses &amp; sources'!$B$12-E31*'Hypothèses &amp; sources'!$B$11))-T31)</x:f>
        <x:v>79.97</x:v>
      </x:c>
      <x:c r="T31" s="33" t="n">
        <x:v>0</x:v>
      </x:c>
    </x:row>
    <x:row r="32">
      <x:c r="A32" s="33" t="n">
        <x:v>28</x:v>
      </x:c>
      <x:c r="B32" s="38" t="str">
        <x:v>Penne alla vodka</x:v>
      </x:c>
      <x:c r="C32" s="38" t="str">
        <x:v>Pâtes</x:v>
      </x:c>
      <x:c r="D32" s="38" t="str">
        <x:v>penne, tomates, crème, vodka, parmesan, oignon</x:v>
      </x:c>
      <x:c r="E32" s="33" t="n">
        <x:v>15</x:v>
      </x:c>
      <x:c r="F32" s="33" t="n">
        <x:v>30</x:v>
      </x:c>
      <x:c r="G32" s="56" t="n">
        <x:v>4</x:v>
      </x:c>
      <x:c r="H32" s="56" t="n">
        <x:v>3</x:v>
      </x:c>
      <x:c r="I32" s="33" t="n">
        <x:v>0</x:v>
      </x:c>
      <x:c r="J32" s="57" t="n">
        <x:v>8</x:v>
      </x:c>
      <x:c r="K32" s="57" t="n">
        <x:f>J32*'Hypothèses &amp; sources'!$E$4</x:f>
        <x:v>8</x:v>
      </x:c>
      <x:c r="L32" s="57" t="n">
        <x:f>J32*'Hypothèses &amp; sources'!$F$4</x:f>
        <x:v>8.48</x:v>
      </x:c>
      <x:c r="M32" s="57" t="n">
        <x:f>J32*'Hypothèses &amp; sources'!$G$4</x:f>
        <x:v>8.8</x:v>
      </x:c>
      <x:c r="N32" s="57" t="n">
        <x:f>J32*'Hypothèses &amp; sources'!$H$4</x:f>
        <x:v>8.88</x:v>
      </x:c>
      <x:c r="O32" s="57" t="n">
        <x:f>J32*'Hypothèses &amp; sources'!$I$4</x:f>
        <x:v>9.92</x:v>
      </x:c>
      <x:c r="P32" s="57" t="str">
        <x:v>Lidl</x:v>
      </x:c>
      <x:c r="Q32" s="57" t="n">
        <x:f>IF(P32="Lidl",K32,IF(P32="Super U",L32,IF(P32="Carrefour",M32,IF(P32="Auchan",N32,O32))))</x:f>
        <x:v>8</x:v>
      </x:c>
      <x:c r="R32" s="57" t="n">
        <x:f>Q32/'Hypothèses &amp; sources'!$B$4</x:f>
        <x:v>2</x:v>
      </x:c>
      <x:c r="S32" s="56" t="n">
        <x:f>MAX(0,'Hypothèses &amp; sources'!$B$5*MAX(0,MIN(100,'Hypothèses &amp; sources'!$B$10-R32*'Hypothèses &amp; sources'!$B$9))+'Hypothèses &amp; sources'!$B$6*(G32/5*100)+'Hypothèses &amp; sources'!$B$7*(H32/5*100)+'Hypothèses &amp; sources'!$B$8*MAX(0,MIN(100,'Hypothèses &amp; sources'!$B$12-E32*'Hypothèses &amp; sources'!$B$11))-T32)</x:f>
        <x:v>78.55999999999999</x:v>
      </x:c>
      <x:c r="T32" s="33" t="n">
        <x:v>0</x:v>
      </x:c>
    </x:row>
    <x:row r="33">
      <x:c r="A33" s="33" t="n">
        <x:v>29</x:v>
      </x:c>
      <x:c r="B33" s="38" t="str">
        <x:v>Chinese takeout-style tofu and broccoli</x:v>
      </x:c>
      <x:c r="C33" s="38" t="str">
        <x:v>Plat complet / végétarien</x:v>
      </x:c>
      <x:c r="D33" s="38" t="str">
        <x:v>tofu, brocoli, riz, sauce soja, ail, gingembre, sésame</x:v>
      </x:c>
      <x:c r="E33" s="33" t="n">
        <x:v>15</x:v>
      </x:c>
      <x:c r="F33" s="33" t="n">
        <x:v>30</x:v>
      </x:c>
      <x:c r="G33" s="56" t="n">
        <x:v>4.1</x:v>
      </x:c>
      <x:c r="H33" s="56" t="n">
        <x:v>4.6</x:v>
      </x:c>
      <x:c r="I33" s="33" t="n">
        <x:v>1</x:v>
      </x:c>
      <x:c r="J33" s="57" t="n">
        <x:v>8.3</x:v>
      </x:c>
      <x:c r="K33" s="57" t="n">
        <x:f>J33*'Hypothèses &amp; sources'!$E$4</x:f>
        <x:v>8.3</x:v>
      </x:c>
      <x:c r="L33" s="57" t="n">
        <x:f>J33*'Hypothèses &amp; sources'!$F$4</x:f>
        <x:v>8.798000000000002</x:v>
      </x:c>
      <x:c r="M33" s="57" t="n">
        <x:f>J33*'Hypothèses &amp; sources'!$G$4</x:f>
        <x:v>9.13</x:v>
      </x:c>
      <x:c r="N33" s="57" t="n">
        <x:f>J33*'Hypothèses &amp; sources'!$H$4</x:f>
        <x:v>9.213000000000001</x:v>
      </x:c>
      <x:c r="O33" s="57" t="n">
        <x:f>J33*'Hypothèses &amp; sources'!$I$4</x:f>
        <x:v>10.292000000000002</x:v>
      </x:c>
      <x:c r="P33" s="57" t="str">
        <x:v>Super U</x:v>
      </x:c>
      <x:c r="Q33" s="57" t="n">
        <x:f>IF(P33="Lidl",K33,IF(P33="Super U",L33,IF(P33="Carrefour",M33,IF(P33="Auchan",N33,O33))))</x:f>
        <x:v>8.798000000000002</x:v>
      </x:c>
      <x:c r="R33" s="57" t="n">
        <x:f>Q33/'Hypothèses &amp; sources'!$B$4</x:f>
        <x:v>2.1995000000000005</x:v>
      </x:c>
      <x:c r="S33" s="56" t="n">
        <x:f>MAX(0,'Hypothèses &amp; sources'!$B$5*MAX(0,MIN(100,'Hypothèses &amp; sources'!$B$10-R33*'Hypothèses &amp; sources'!$B$9))+'Hypothèses &amp; sources'!$B$6*(G33/5*100)+'Hypothèses &amp; sources'!$B$7*(H33/5*100)+'Hypothèses &amp; sources'!$B$8*MAX(0,MIN(100,'Hypothèses &amp; sources'!$B$12-E33*'Hypothèses &amp; sources'!$B$11))-T33)</x:f>
        <x:v>83.87451999999999</x:v>
      </x:c>
      <x:c r="T33" s="33" t="n">
        <x:v>0</x:v>
      </x:c>
    </x:row>
    <x:row r="34">
      <x:c r="A34" s="33" t="n">
        <x:v>30</x:v>
      </x:c>
      <x:c r="B34" s="38" t="str">
        <x:v>Oeufs cuits à la vapeur à l'asiatique</x:v>
      </x:c>
      <x:c r="C34" s="38" t="str">
        <x:v>Plat complet</x:v>
      </x:c>
      <x:c r="D34" s="38" t="str">
        <x:v>œufs</x:v>
      </x:c>
      <x:c r="E34" s="33" t="n">
        <x:v>15</x:v>
      </x:c>
      <x:c r="F34" s="33" t="n">
        <x:v>35</x:v>
      </x:c>
      <x:c r="G34" s="56" t="n">
        <x:v>3.6</x:v>
      </x:c>
      <x:c r="H34" s="56" t="n">
        <x:v>3.1</x:v>
      </x:c>
      <x:c r="I34" s="33" t="n">
        <x:v>0</x:v>
      </x:c>
      <x:c r="J34" s="57" t="n">
        <x:v>3.3</x:v>
      </x:c>
      <x:c r="K34" s="57" t="n">
        <x:f>J34*'Hypothèses &amp; sources'!$E$4</x:f>
        <x:v>3.3</x:v>
      </x:c>
      <x:c r="L34" s="57" t="n">
        <x:f>J34*'Hypothèses &amp; sources'!$F$4</x:f>
        <x:v>3.4979999999999998</x:v>
      </x:c>
      <x:c r="M34" s="57" t="n">
        <x:f>J34*'Hypothèses &amp; sources'!$G$4</x:f>
        <x:v>3.63</x:v>
      </x:c>
      <x:c r="N34" s="57" t="n">
        <x:f>J34*'Hypothèses &amp; sources'!$H$4</x:f>
        <x:v>3.6630000000000003</x:v>
      </x:c>
      <x:c r="O34" s="57" t="n">
        <x:f>J34*'Hypothèses &amp; sources'!$I$4</x:f>
        <x:v>4.092</x:v>
      </x:c>
      <x:c r="P34" s="57" t="str">
        <x:v>Lidl</x:v>
      </x:c>
      <x:c r="Q34" s="57" t="n">
        <x:f>IF(P34="Lidl",K34,IF(P34="Super U",L34,IF(P34="Carrefour",M34,IF(P34="Auchan",N34,O34))))</x:f>
        <x:v>3.3</x:v>
      </x:c>
      <x:c r="R34" s="57" t="n">
        <x:f>Q34/'Hypothèses &amp; sources'!$B$4</x:f>
        <x:v>0.825</x:v>
      </x:c>
      <x:c r="S34" s="56" t="n">
        <x:f>MAX(0,'Hypothèses &amp; sources'!$B$5*MAX(0,MIN(100,'Hypothèses &amp; sources'!$B$10-R34*'Hypothèses &amp; sources'!$B$9))+'Hypothèses &amp; sources'!$B$6*(G34/5*100)+'Hypothèses &amp; sources'!$B$7*(H34/5*100)+'Hypothèses &amp; sources'!$B$8*MAX(0,MIN(100,'Hypothèses &amp; sources'!$B$12-E34*'Hypothèses &amp; sources'!$B$11))-T34)</x:f>
        <x:v>82.56</x:v>
      </x:c>
      <x:c r="T34" s="33" t="n">
        <x:v>0</x:v>
      </x:c>
    </x:row>
    <x:row r="35">
      <x:c r="A35" s="33" t="n">
        <x:v>31</x:v>
      </x:c>
      <x:c r="B35" s="38" t="str">
        <x:v>Soupe aux haricots noirs et aux jeunes pousses</x:v>
      </x:c>
      <x:c r="C35" s="38" t="str">
        <x:v>Soupe / bouillon</x:v>
      </x:c>
      <x:c r="D35" s="38" t="str">
        <x:v>bouillon, oignon, légumineuses</x:v>
      </x:c>
      <x:c r="E35" s="33" t="n">
        <x:v>15</x:v>
      </x:c>
      <x:c r="F35" s="33" t="n">
        <x:v>35</x:v>
      </x:c>
      <x:c r="G35" s="56" t="n">
        <x:v>4</x:v>
      </x:c>
      <x:c r="H35" s="56" t="n">
        <x:v>3.8</x:v>
      </x:c>
      <x:c r="I35" s="33" t="n">
        <x:v>0</x:v>
      </x:c>
      <x:c r="J35" s="57" t="n">
        <x:v>3.4</x:v>
      </x:c>
      <x:c r="K35" s="57" t="n">
        <x:f>J35*'Hypothèses &amp; sources'!$E$4</x:f>
        <x:v>3.4</x:v>
      </x:c>
      <x:c r="L35" s="57" t="n">
        <x:f>J35*'Hypothèses &amp; sources'!$F$4</x:f>
        <x:v>3.604</x:v>
      </x:c>
      <x:c r="M35" s="57" t="n">
        <x:f>J35*'Hypothèses &amp; sources'!$G$4</x:f>
        <x:v>3.74</x:v>
      </x:c>
      <x:c r="N35" s="57" t="n">
        <x:f>J35*'Hypothèses &amp; sources'!$H$4</x:f>
        <x:v>3.774</x:v>
      </x:c>
      <x:c r="O35" s="57" t="n">
        <x:f>J35*'Hypothèses &amp; sources'!$I$4</x:f>
        <x:v>4.216</x:v>
      </x:c>
      <x:c r="P35" s="57" t="str">
        <x:v>Lidl</x:v>
      </x:c>
      <x:c r="Q35" s="57" t="n">
        <x:f>IF(P35="Lidl",K35,IF(P35="Super U",L35,IF(P35="Carrefour",M35,IF(P35="Auchan",N35,O35))))</x:f>
        <x:v>3.4</x:v>
      </x:c>
      <x:c r="R35" s="57" t="n">
        <x:f>Q35/'Hypothèses &amp; sources'!$B$4</x:f>
        <x:v>0.85</x:v>
      </x:c>
      <x:c r="S35" s="56" t="n">
        <x:f>MAX(0,'Hypothèses &amp; sources'!$B$5*MAX(0,MIN(100,'Hypothèses &amp; sources'!$B$10-R35*'Hypothèses &amp; sources'!$B$9))+'Hypothèses &amp; sources'!$B$6*(G35/5*100)+'Hypothèses &amp; sources'!$B$7*(H35/5*100)+'Hypothèses &amp; sources'!$B$8*MAX(0,MIN(100,'Hypothèses &amp; sources'!$B$12-E35*'Hypothèses &amp; sources'!$B$11))-T35)</x:f>
        <x:v>87.236</x:v>
      </x:c>
      <x:c r="T35" s="33" t="n">
        <x:v>0</x:v>
      </x:c>
    </x:row>
    <x:row r="36">
      <x:c r="A36" s="33" t="n">
        <x:v>32</x:v>
      </x:c>
      <x:c r="B36" s="38" t="str">
        <x:v>Turkish red lentil soup</x:v>
      </x:c>
      <x:c r="C36" s="38" t="str">
        <x:v>Soupe / bouillon</x:v>
      </x:c>
      <x:c r="D36" s="38" t="str">
        <x:v>bouillon, oignon, légumineuses</x:v>
      </x:c>
      <x:c r="E36" s="33" t="n">
        <x:v>15</x:v>
      </x:c>
      <x:c r="F36" s="33" t="n">
        <x:v>35</x:v>
      </x:c>
      <x:c r="G36" s="56" t="n">
        <x:v>4</x:v>
      </x:c>
      <x:c r="H36" s="56" t="n">
        <x:v>3.8</x:v>
      </x:c>
      <x:c r="I36" s="33" t="n">
        <x:v>0</x:v>
      </x:c>
      <x:c r="J36" s="57" t="n">
        <x:v>3.4</x:v>
      </x:c>
      <x:c r="K36" s="57" t="n">
        <x:f>J36*'Hypothèses &amp; sources'!$E$4</x:f>
        <x:v>3.4</x:v>
      </x:c>
      <x:c r="L36" s="57" t="n">
        <x:f>J36*'Hypothèses &amp; sources'!$F$4</x:f>
        <x:v>3.604</x:v>
      </x:c>
      <x:c r="M36" s="57" t="n">
        <x:f>J36*'Hypothèses &amp; sources'!$G$4</x:f>
        <x:v>3.74</x:v>
      </x:c>
      <x:c r="N36" s="57" t="n">
        <x:f>J36*'Hypothèses &amp; sources'!$H$4</x:f>
        <x:v>3.774</x:v>
      </x:c>
      <x:c r="O36" s="57" t="n">
        <x:f>J36*'Hypothèses &amp; sources'!$I$4</x:f>
        <x:v>4.216</x:v>
      </x:c>
      <x:c r="P36" s="57" t="str">
        <x:v>Lidl</x:v>
      </x:c>
      <x:c r="Q36" s="57" t="n">
        <x:f>IF(P36="Lidl",K36,IF(P36="Super U",L36,IF(P36="Carrefour",M36,IF(P36="Auchan",N36,O36))))</x:f>
        <x:v>3.4</x:v>
      </x:c>
      <x:c r="R36" s="57" t="n">
        <x:f>Q36/'Hypothèses &amp; sources'!$B$4</x:f>
        <x:v>0.85</x:v>
      </x:c>
      <x:c r="S36" s="56" t="n">
        <x:f>MAX(0,'Hypothèses &amp; sources'!$B$5*MAX(0,MIN(100,'Hypothèses &amp; sources'!$B$10-R36*'Hypothèses &amp; sources'!$B$9))+'Hypothèses &amp; sources'!$B$6*(G36/5*100)+'Hypothèses &amp; sources'!$B$7*(H36/5*100)+'Hypothèses &amp; sources'!$B$8*MAX(0,MIN(100,'Hypothèses &amp; sources'!$B$12-E36*'Hypothèses &amp; sources'!$B$11))-T36)</x:f>
        <x:v>87.236</x:v>
      </x:c>
      <x:c r="T36" s="33" t="n">
        <x:v>0</x:v>
      </x:c>
    </x:row>
    <x:row r="37">
      <x:c r="A37" s="33" t="n">
        <x:v>33</x:v>
      </x:c>
      <x:c r="B37" s="38" t="str">
        <x:v>Purée de citrouilles</x:v>
      </x:c>
      <x:c r="C37" s="38" t="str">
        <x:v>Accompagnement</x:v>
      </x:c>
      <x:c r="D37" s="38" t="str">
        <x:v>citrouille, beurre ou crème</x:v>
      </x:c>
      <x:c r="E37" s="33" t="n">
        <x:v>15</x:v>
      </x:c>
      <x:c r="F37" s="33" t="n">
        <x:v>35</x:v>
      </x:c>
      <x:c r="G37" s="56" t="n">
        <x:v>3.2</x:v>
      </x:c>
      <x:c r="H37" s="56" t="n">
        <x:v>3.8</x:v>
      </x:c>
      <x:c r="I37" s="33" t="n">
        <x:v>0</x:v>
      </x:c>
      <x:c r="J37" s="57" t="n">
        <x:v>4</x:v>
      </x:c>
      <x:c r="K37" s="57" t="n">
        <x:f>J37*'Hypothèses &amp; sources'!$E$4</x:f>
        <x:v>4</x:v>
      </x:c>
      <x:c r="L37" s="57" t="n">
        <x:f>J37*'Hypothèses &amp; sources'!$F$4</x:f>
        <x:v>4.24</x:v>
      </x:c>
      <x:c r="M37" s="57" t="n">
        <x:f>J37*'Hypothèses &amp; sources'!$G$4</x:f>
        <x:v>4.4</x:v>
      </x:c>
      <x:c r="N37" s="57" t="n">
        <x:f>J37*'Hypothèses &amp; sources'!$H$4</x:f>
        <x:v>4.44</x:v>
      </x:c>
      <x:c r="O37" s="57" t="n">
        <x:f>J37*'Hypothèses &amp; sources'!$I$4</x:f>
        <x:v>4.96</x:v>
      </x:c>
      <x:c r="P37" s="57" t="str">
        <x:v>Lidl</x:v>
      </x:c>
      <x:c r="Q37" s="57" t="n">
        <x:f>IF(P37="Lidl",K37,IF(P37="Super U",L37,IF(P37="Carrefour",M37,IF(P37="Auchan",N37,O37))))</x:f>
        <x:v>4</x:v>
      </x:c>
      <x:c r="R37" s="57" t="n">
        <x:f>Q37/'Hypothèses &amp; sources'!$B$4</x:f>
        <x:v>1</x:v>
      </x:c>
      <x:c r="S37" s="56" t="n">
        <x:f>MAX(0,'Hypothèses &amp; sources'!$B$5*MAX(0,MIN(100,'Hypothèses &amp; sources'!$B$10-R37*'Hypothèses &amp; sources'!$B$9))+'Hypothèses &amp; sources'!$B$6*(G37/5*100)+'Hypothèses &amp; sources'!$B$7*(H37/5*100)+'Hypothèses &amp; sources'!$B$8*MAX(0,MIN(100,'Hypothèses &amp; sources'!$B$12-E37*'Hypothèses &amp; sources'!$B$11))-T37)</x:f>
        <x:v>73.99999999999999</x:v>
      </x:c>
      <x:c r="T37" s="33" t="n">
        <x:v>8</x:v>
      </x:c>
    </x:row>
    <x:row r="38">
      <x:c r="A38" s="33" t="n">
        <x:v>34</x:v>
      </x:c>
      <x:c r="B38" s="38" t="str">
        <x:v>Split pea soup with harissa</x:v>
      </x:c>
      <x:c r="C38" s="38" t="str">
        <x:v>Soupe / bouillon</x:v>
      </x:c>
      <x:c r="D38" s="38" t="str">
        <x:v>bouillon, oignon, légumineuses, harissa</x:v>
      </x:c>
      <x:c r="E38" s="33" t="n">
        <x:v>15</x:v>
      </x:c>
      <x:c r="F38" s="33" t="n">
        <x:v>35</x:v>
      </x:c>
      <x:c r="G38" s="56" t="n">
        <x:v>4</x:v>
      </x:c>
      <x:c r="H38" s="56" t="n">
        <x:v>3.8</x:v>
      </x:c>
      <x:c r="I38" s="33" t="n">
        <x:v>1</x:v>
      </x:c>
      <x:c r="J38" s="57" t="n">
        <x:v>4.2</x:v>
      </x:c>
      <x:c r="K38" s="57" t="n">
        <x:f>J38*'Hypothèses &amp; sources'!$E$4</x:f>
        <x:v>4.2</x:v>
      </x:c>
      <x:c r="L38" s="57" t="n">
        <x:f>J38*'Hypothèses &amp; sources'!$F$4</x:f>
        <x:v>4.452000000000001</x:v>
      </x:c>
      <x:c r="M38" s="57" t="n">
        <x:f>J38*'Hypothèses &amp; sources'!$G$4</x:f>
        <x:v>4.620000000000001</x:v>
      </x:c>
      <x:c r="N38" s="57" t="n">
        <x:f>J38*'Hypothèses &amp; sources'!$H$4</x:f>
        <x:v>4.662000000000001</x:v>
      </x:c>
      <x:c r="O38" s="57" t="n">
        <x:f>J38*'Hypothèses &amp; sources'!$I$4</x:f>
        <x:v>5.208</x:v>
      </x:c>
      <x:c r="P38" s="57" t="str">
        <x:v>Super U</x:v>
      </x:c>
      <x:c r="Q38" s="57" t="n">
        <x:f>IF(P38="Lidl",K38,IF(P38="Super U",L38,IF(P38="Carrefour",M38,IF(P38="Auchan",N38,O38))))</x:f>
        <x:v>4.452000000000001</x:v>
      </x:c>
      <x:c r="R38" s="57" t="n">
        <x:f>Q38/'Hypothèses &amp; sources'!$B$4</x:f>
        <x:v>1.1130000000000002</x:v>
      </x:c>
      <x:c r="S38" s="56" t="n">
        <x:f>MAX(0,'Hypothèses &amp; sources'!$B$5*MAX(0,MIN(100,'Hypothèses &amp; sources'!$B$10-R38*'Hypothèses &amp; sources'!$B$9))+'Hypothèses &amp; sources'!$B$6*(G38/5*100)+'Hypothèses &amp; sources'!$B$7*(H38/5*100)+'Hypothèses &amp; sources'!$B$8*MAX(0,MIN(100,'Hypothèses &amp; sources'!$B$12-E38*'Hypothèses &amp; sources'!$B$11))-T38)</x:f>
        <x:v>85.91047999999999</x:v>
      </x:c>
      <x:c r="T38" s="33" t="n">
        <x:v>0</x:v>
      </x:c>
    </x:row>
    <x:row r="39">
      <x:c r="A39" s="33" t="n">
        <x:v>35</x:v>
      </x:c>
      <x:c r="B39" s="38" t="str">
        <x:v>Chickpea orzo soup</x:v>
      </x:c>
      <x:c r="C39" s="38" t="str">
        <x:v>Soupe / bouillon</x:v>
      </x:c>
      <x:c r="D39" s="38" t="str">
        <x:v>bouillon, oignon, pâtes / nouilles, légumineuses</x:v>
      </x:c>
      <x:c r="E39" s="33" t="n">
        <x:v>15</x:v>
      </x:c>
      <x:c r="F39" s="33" t="n">
        <x:v>35</x:v>
      </x:c>
      <x:c r="G39" s="56" t="n">
        <x:v>4.3</x:v>
      </x:c>
      <x:c r="H39" s="56" t="n">
        <x:v>3.8</x:v>
      </x:c>
      <x:c r="I39" s="33" t="n">
        <x:v>0</x:v>
      </x:c>
      <x:c r="J39" s="57" t="n">
        <x:v>4.5</x:v>
      </x:c>
      <x:c r="K39" s="57" t="n">
        <x:f>J39*'Hypothèses &amp; sources'!$E$4</x:f>
        <x:v>4.5</x:v>
      </x:c>
      <x:c r="L39" s="57" t="n">
        <x:f>J39*'Hypothèses &amp; sources'!$F$4</x:f>
        <x:v>4.7700000000000005</x:v>
      </x:c>
      <x:c r="M39" s="57" t="n">
        <x:f>J39*'Hypothèses &amp; sources'!$G$4</x:f>
        <x:v>4.95</x:v>
      </x:c>
      <x:c r="N39" s="57" t="n">
        <x:f>J39*'Hypothèses &amp; sources'!$H$4</x:f>
        <x:v>4.995</x:v>
      </x:c>
      <x:c r="O39" s="57" t="n">
        <x:f>J39*'Hypothèses &amp; sources'!$I$4</x:f>
        <x:v>5.58</x:v>
      </x:c>
      <x:c r="P39" s="57" t="str">
        <x:v>Lidl</x:v>
      </x:c>
      <x:c r="Q39" s="57" t="n">
        <x:f>IF(P39="Lidl",K39,IF(P39="Super U",L39,IF(P39="Carrefour",M39,IF(P39="Auchan",N39,O39))))</x:f>
        <x:v>4.5</x:v>
      </x:c>
      <x:c r="R39" s="57" t="n">
        <x:f>Q39/'Hypothèses &amp; sources'!$B$4</x:f>
        <x:v>1.125</x:v>
      </x:c>
      <x:c r="S39" s="56" t="n">
        <x:f>MAX(0,'Hypothèses &amp; sources'!$B$5*MAX(0,MIN(100,'Hypothèses &amp; sources'!$B$10-R39*'Hypothèses &amp; sources'!$B$9))+'Hypothèses &amp; sources'!$B$6*(G39/5*100)+'Hypothèses &amp; sources'!$B$7*(H39/5*100)+'Hypothèses &amp; sources'!$B$8*MAX(0,MIN(100,'Hypothèses &amp; sources'!$B$12-E39*'Hypothèses &amp; sources'!$B$11))-T39)</x:f>
        <x:v>87.52999999999999</x:v>
      </x:c>
      <x:c r="T39" s="33" t="n">
        <x:v>0</x:v>
      </x:c>
    </x:row>
    <x:row r="40">
      <x:c r="A40" s="33" t="n">
        <x:v>36</x:v>
      </x:c>
      <x:c r="B40" s="38" t="str">
        <x:v>Mexican noodle soup</x:v>
      </x:c>
      <x:c r="C40" s="38" t="str">
        <x:v>Soupe / bouillon</x:v>
      </x:c>
      <x:c r="D40" s="38" t="str">
        <x:v>bouillon, oignon, pâtes / nouilles, légumes</x:v>
      </x:c>
      <x:c r="E40" s="33" t="n">
        <x:v>15</x:v>
      </x:c>
      <x:c r="F40" s="33" t="n">
        <x:v>35</x:v>
      </x:c>
      <x:c r="G40" s="56" t="n">
        <x:v>3.5</x:v>
      </x:c>
      <x:c r="H40" s="56" t="n">
        <x:v>3.5</x:v>
      </x:c>
      <x:c r="I40" s="33" t="n">
        <x:v>0</x:v>
      </x:c>
      <x:c r="J40" s="57" t="n">
        <x:v>4.6</x:v>
      </x:c>
      <x:c r="K40" s="57" t="n">
        <x:f>J40*'Hypothèses &amp; sources'!$E$4</x:f>
        <x:v>4.6</x:v>
      </x:c>
      <x:c r="L40" s="57" t="n">
        <x:f>J40*'Hypothèses &amp; sources'!$F$4</x:f>
        <x:v>4.8759999999999994</x:v>
      </x:c>
      <x:c r="M40" s="57" t="n">
        <x:f>J40*'Hypothèses &amp; sources'!$G$4</x:f>
        <x:v>5.06</x:v>
      </x:c>
      <x:c r="N40" s="57" t="n">
        <x:f>J40*'Hypothèses &amp; sources'!$H$4</x:f>
        <x:v>5.106</x:v>
      </x:c>
      <x:c r="O40" s="57" t="n">
        <x:f>J40*'Hypothèses &amp; sources'!$I$4</x:f>
        <x:v>5.704</x:v>
      </x:c>
      <x:c r="P40" s="57" t="str">
        <x:v>Lidl</x:v>
      </x:c>
      <x:c r="Q40" s="57" t="n">
        <x:f>IF(P40="Lidl",K40,IF(P40="Super U",L40,IF(P40="Carrefour",M40,IF(P40="Auchan",N40,O40))))</x:f>
        <x:v>4.6</x:v>
      </x:c>
      <x:c r="R40" s="57" t="n">
        <x:f>Q40/'Hypothèses &amp; sources'!$B$4</x:f>
        <x:v>1.15</x:v>
      </x:c>
      <x:c r="S40" s="56" t="n">
        <x:f>MAX(0,'Hypothèses &amp; sources'!$B$5*MAX(0,MIN(100,'Hypothèses &amp; sources'!$B$10-R40*'Hypothèses &amp; sources'!$B$9))+'Hypothèses &amp; sources'!$B$6*(G40/5*100)+'Hypothèses &amp; sources'!$B$7*(H40/5*100)+'Hypothèses &amp; sources'!$B$8*MAX(0,MIN(100,'Hypothèses &amp; sources'!$B$12-E40*'Hypothèses &amp; sources'!$B$11))-T40)</x:f>
        <x:v>81.844</x:v>
      </x:c>
      <x:c r="T40" s="33" t="n">
        <x:v>0</x:v>
      </x:c>
    </x:row>
    <x:row r="41">
      <x:c r="A41" s="33" t="n">
        <x:v>37</x:v>
      </x:c>
      <x:c r="B41" s="38" t="str">
        <x:v>Soupe de mais douce aux légumes</x:v>
      </x:c>
      <x:c r="C41" s="38" t="str">
        <x:v>Soupe / végétarien</x:v>
      </x:c>
      <x:c r="D41" s="38" t="str">
        <x:v>maïs, carotte, céleri, oignon, bouillon</x:v>
      </x:c>
      <x:c r="E41" s="33" t="n">
        <x:v>15</x:v>
      </x:c>
      <x:c r="F41" s="33" t="n">
        <x:v>35</x:v>
      </x:c>
      <x:c r="G41" s="56" t="n">
        <x:v>3.5</x:v>
      </x:c>
      <x:c r="H41" s="56" t="n">
        <x:v>4.2</x:v>
      </x:c>
      <x:c r="I41" s="33" t="n">
        <x:v>0</x:v>
      </x:c>
      <x:c r="J41" s="57" t="n">
        <x:v>5</x:v>
      </x:c>
      <x:c r="K41" s="57" t="n">
        <x:f>J41*'Hypothèses &amp; sources'!$E$4</x:f>
        <x:v>5</x:v>
      </x:c>
      <x:c r="L41" s="57" t="n">
        <x:f>J41*'Hypothèses &amp; sources'!$F$4</x:f>
        <x:v>5.300000000000001</x:v>
      </x:c>
      <x:c r="M41" s="57" t="n">
        <x:f>J41*'Hypothèses &amp; sources'!$G$4</x:f>
        <x:v>5.5</x:v>
      </x:c>
      <x:c r="N41" s="57" t="n">
        <x:f>J41*'Hypothèses &amp; sources'!$H$4</x:f>
        <x:v>5.550000000000001</x:v>
      </x:c>
      <x:c r="O41" s="57" t="n">
        <x:f>J41*'Hypothèses &amp; sources'!$I$4</x:f>
        <x:v>6.2</x:v>
      </x:c>
      <x:c r="P41" s="57" t="str">
        <x:v>Lidl</x:v>
      </x:c>
      <x:c r="Q41" s="57" t="n">
        <x:f>IF(P41="Lidl",K41,IF(P41="Super U",L41,IF(P41="Carrefour",M41,IF(P41="Auchan",N41,O41))))</x:f>
        <x:v>5</x:v>
      </x:c>
      <x:c r="R41" s="57" t="n">
        <x:f>Q41/'Hypothèses &amp; sources'!$B$4</x:f>
        <x:v>1.25</x:v>
      </x:c>
      <x:c r="S41" s="56" t="n">
        <x:f>MAX(0,'Hypothèses &amp; sources'!$B$5*MAX(0,MIN(100,'Hypothèses &amp; sources'!$B$10-R41*'Hypothèses &amp; sources'!$B$9))+'Hypothèses &amp; sources'!$B$6*(G41/5*100)+'Hypothèses &amp; sources'!$B$7*(H41/5*100)+'Hypothèses &amp; sources'!$B$8*MAX(0,MIN(100,'Hypothèses &amp; sources'!$B$12-E41*'Hypothèses &amp; sources'!$B$11))-T41)</x:f>
        <x:v>83.86</x:v>
      </x:c>
      <x:c r="T41" s="33" t="n">
        <x:v>0</x:v>
      </x:c>
    </x:row>
    <x:row r="42">
      <x:c r="A42" s="33" t="n">
        <x:v>38</x:v>
      </x:c>
      <x:c r="B42" s="38" t="str">
        <x:v>Eggplant &amp; olive spread</x:v>
      </x:c>
      <x:c r="C42" s="38" t="str">
        <x:v>Apéritif / tartinade</x:v>
      </x:c>
      <x:c r="D42" s="38" t="str">
        <x:v>aubergine, olives, ail, citron, huile d’olive</x:v>
      </x:c>
      <x:c r="E42" s="33" t="n">
        <x:v>15</x:v>
      </x:c>
      <x:c r="F42" s="33" t="n">
        <x:v>35</x:v>
      </x:c>
      <x:c r="G42" s="56" t="n">
        <x:v>2.5</x:v>
      </x:c>
      <x:c r="H42" s="56" t="n">
        <x:v>4</x:v>
      </x:c>
      <x:c r="I42" s="33" t="n">
        <x:v>0</x:v>
      </x:c>
      <x:c r="J42" s="57" t="n">
        <x:v>5.2</x:v>
      </x:c>
      <x:c r="K42" s="57" t="n">
        <x:f>J42*'Hypothèses &amp; sources'!$E$4</x:f>
        <x:v>5.2</x:v>
      </x:c>
      <x:c r="L42" s="57" t="n">
        <x:f>J42*'Hypothèses &amp; sources'!$F$4</x:f>
        <x:v>5.5120000000000005</x:v>
      </x:c>
      <x:c r="M42" s="57" t="n">
        <x:f>J42*'Hypothèses &amp; sources'!$G$4</x:f>
        <x:v>5.720000000000001</x:v>
      </x:c>
      <x:c r="N42" s="57" t="n">
        <x:f>J42*'Hypothèses &amp; sources'!$H$4</x:f>
        <x:v>5.772000000000001</x:v>
      </x:c>
      <x:c r="O42" s="57" t="n">
        <x:f>J42*'Hypothèses &amp; sources'!$I$4</x:f>
        <x:v>6.448</x:v>
      </x:c>
      <x:c r="P42" s="57" t="str">
        <x:v>Lidl</x:v>
      </x:c>
      <x:c r="Q42" s="57" t="n">
        <x:f>IF(P42="Lidl",K42,IF(P42="Super U",L42,IF(P42="Carrefour",M42,IF(P42="Auchan",N42,O42))))</x:f>
        <x:v>5.2</x:v>
      </x:c>
      <x:c r="R42" s="57" t="n">
        <x:f>Q42/'Hypothèses &amp; sources'!$B$4</x:f>
        <x:v>1.3</x:v>
      </x:c>
      <x:c r="S42" s="56" t="n">
        <x:f>MAX(0,'Hypothèses &amp; sources'!$B$5*MAX(0,MIN(100,'Hypothèses &amp; sources'!$B$10-R42*'Hypothèses &amp; sources'!$B$9))+'Hypothèses &amp; sources'!$B$6*(G42/5*100)+'Hypothèses &amp; sources'!$B$7*(H42/5*100)+'Hypothèses &amp; sources'!$B$8*MAX(0,MIN(100,'Hypothèses &amp; sources'!$B$12-E42*'Hypothèses &amp; sources'!$B$11))-T42)</x:f>
        <x:v>67.288</x:v>
      </x:c>
      <x:c r="T42" s="33" t="n">
        <x:v>10</x:v>
      </x:c>
    </x:row>
    <x:row r="43">
      <x:c r="A43" s="33" t="n">
        <x:v>39</x:v>
      </x:c>
      <x:c r="B43" s="38" t="str">
        <x:v>Soupe de pomme de terre et de mais</x:v>
      </x:c>
      <x:c r="C43" s="38" t="str">
        <x:v>Soupe / bouillon</x:v>
      </x:c>
      <x:c r="D43" s="38" t="str">
        <x:v>bouillon, oignon, pommes de terre, maïs</x:v>
      </x:c>
      <x:c r="E43" s="33" t="n">
        <x:v>15</x:v>
      </x:c>
      <x:c r="F43" s="33" t="n">
        <x:v>35</x:v>
      </x:c>
      <x:c r="G43" s="56" t="n">
        <x:v>3.7</x:v>
      </x:c>
      <x:c r="H43" s="56" t="n">
        <x:v>3.3</x:v>
      </x:c>
      <x:c r="I43" s="33" t="n">
        <x:v>0</x:v>
      </x:c>
      <x:c r="J43" s="57" t="n">
        <x:v>5.3</x:v>
      </x:c>
      <x:c r="K43" s="57" t="n">
        <x:f>J43*'Hypothèses &amp; sources'!$E$4</x:f>
        <x:v>5.3</x:v>
      </x:c>
      <x:c r="L43" s="57" t="n">
        <x:f>J43*'Hypothèses &amp; sources'!$F$4</x:f>
        <x:v>5.618</x:v>
      </x:c>
      <x:c r="M43" s="57" t="n">
        <x:f>J43*'Hypothèses &amp; sources'!$G$4</x:f>
        <x:v>5.83</x:v>
      </x:c>
      <x:c r="N43" s="57" t="n">
        <x:f>J43*'Hypothèses &amp; sources'!$H$4</x:f>
        <x:v>5.883</x:v>
      </x:c>
      <x:c r="O43" s="57" t="n">
        <x:f>J43*'Hypothèses &amp; sources'!$I$4</x:f>
        <x:v>6.572</x:v>
      </x:c>
      <x:c r="P43" s="57" t="str">
        <x:v>Lidl</x:v>
      </x:c>
      <x:c r="Q43" s="57" t="n">
        <x:f>IF(P43="Lidl",K43,IF(P43="Super U",L43,IF(P43="Carrefour",M43,IF(P43="Auchan",N43,O43))))</x:f>
        <x:v>5.3</x:v>
      </x:c>
      <x:c r="R43" s="57" t="n">
        <x:f>Q43/'Hypothèses &amp; sources'!$B$4</x:f>
        <x:v>1.325</x:v>
      </x:c>
      <x:c r="S43" s="56" t="n">
        <x:f>MAX(0,'Hypothèses &amp; sources'!$B$5*MAX(0,MIN(100,'Hypothèses &amp; sources'!$B$10-R43*'Hypothèses &amp; sources'!$B$9))+'Hypothèses &amp; sources'!$B$6*(G43/5*100)+'Hypothèses &amp; sources'!$B$7*(H43/5*100)+'Hypothèses &amp; sources'!$B$8*MAX(0,MIN(100,'Hypothèses &amp; sources'!$B$12-E43*'Hypothèses &amp; sources'!$B$11))-T43)</x:f>
        <x:v>81.362</x:v>
      </x:c>
      <x:c r="T43" s="33" t="n">
        <x:v>0</x:v>
      </x:c>
    </x:row>
    <x:row r="44">
      <x:c r="A44" s="33" t="n">
        <x:v>40</x:v>
      </x:c>
      <x:c r="B44" s="38" t="str">
        <x:v>Israeli couscous and lentils</x:v>
      </x:c>
      <x:c r="C44" s="38" t="str">
        <x:v>Céréales / légumineuses</x:v>
      </x:c>
      <x:c r="D44" s="38" t="str">
        <x:v>couscous perlé, lentilles, oignon, carotte, bouillon, herbes</x:v>
      </x:c>
      <x:c r="E44" s="33" t="n">
        <x:v>15</x:v>
      </x:c>
      <x:c r="F44" s="33" t="n">
        <x:v>35</x:v>
      </x:c>
      <x:c r="G44" s="56" t="n">
        <x:v>4.5</x:v>
      </x:c>
      <x:c r="H44" s="56" t="n">
        <x:v>4.6</x:v>
      </x:c>
      <x:c r="I44" s="33" t="n">
        <x:v>1</x:v>
      </x:c>
      <x:c r="J44" s="57" t="n">
        <x:v>5.2</x:v>
      </x:c>
      <x:c r="K44" s="57" t="n">
        <x:f>J44*'Hypothèses &amp; sources'!$E$4</x:f>
        <x:v>5.2</x:v>
      </x:c>
      <x:c r="L44" s="57" t="n">
        <x:f>J44*'Hypothèses &amp; sources'!$F$4</x:f>
        <x:v>5.5120000000000005</x:v>
      </x:c>
      <x:c r="M44" s="57" t="n">
        <x:f>J44*'Hypothèses &amp; sources'!$G$4</x:f>
        <x:v>5.720000000000001</x:v>
      </x:c>
      <x:c r="N44" s="57" t="n">
        <x:f>J44*'Hypothèses &amp; sources'!$H$4</x:f>
        <x:v>5.772000000000001</x:v>
      </x:c>
      <x:c r="O44" s="57" t="n">
        <x:f>J44*'Hypothèses &amp; sources'!$I$4</x:f>
        <x:v>6.448</x:v>
      </x:c>
      <x:c r="P44" s="57" t="str">
        <x:v>Super U</x:v>
      </x:c>
      <x:c r="Q44" s="57" t="n">
        <x:f>IF(P44="Lidl",K44,IF(P44="Super U",L44,IF(P44="Carrefour",M44,IF(P44="Auchan",N44,O44))))</x:f>
        <x:v>5.5120000000000005</x:v>
      </x:c>
      <x:c r="R44" s="57" t="n">
        <x:f>Q44/'Hypothèses &amp; sources'!$B$4</x:f>
        <x:v>1.3780000000000001</x:v>
      </x:c>
      <x:c r="S44" s="56" t="n">
        <x:f>MAX(0,'Hypothèses &amp; sources'!$B$5*MAX(0,MIN(100,'Hypothèses &amp; sources'!$B$10-R44*'Hypothèses &amp; sources'!$B$9))+'Hypothèses &amp; sources'!$B$6*(G44/5*100)+'Hypothèses &amp; sources'!$B$7*(H44/5*100)+'Hypothèses &amp; sources'!$B$8*MAX(0,MIN(100,'Hypothèses &amp; sources'!$B$12-E44*'Hypothèses &amp; sources'!$B$11))-T44)</x:f>
        <x:v>90.25488</x:v>
      </x:c>
      <x:c r="T44" s="33" t="n">
        <x:v>0</x:v>
      </x:c>
    </x:row>
    <x:row r="45">
      <x:c r="A45" s="33" t="n">
        <x:v>41</x:v>
      </x:c>
      <x:c r="B45" s="38" t="str">
        <x:v>Tomato soup with basil and parmesan</x:v>
      </x:c>
      <x:c r="C45" s="38" t="str">
        <x:v>Soupe / bouillon</x:v>
      </x:c>
      <x:c r="D45" s="38" t="str">
        <x:v>bouillon, oignon, tomates, crème / fromage</x:v>
      </x:c>
      <x:c r="E45" s="33" t="n">
        <x:v>15</x:v>
      </x:c>
      <x:c r="F45" s="33" t="n">
        <x:v>35</x:v>
      </x:c>
      <x:c r="G45" s="56" t="n">
        <x:v>3.5</x:v>
      </x:c>
      <x:c r="H45" s="56" t="n">
        <x:v>3.2</x:v>
      </x:c>
      <x:c r="I45" s="33" t="n">
        <x:v>0</x:v>
      </x:c>
      <x:c r="J45" s="57" t="n">
        <x:v>6.5</x:v>
      </x:c>
      <x:c r="K45" s="57" t="n">
        <x:f>J45*'Hypothèses &amp; sources'!$E$4</x:f>
        <x:v>6.5</x:v>
      </x:c>
      <x:c r="L45" s="57" t="n">
        <x:f>J45*'Hypothèses &amp; sources'!$F$4</x:f>
        <x:v>6.890000000000001</x:v>
      </x:c>
      <x:c r="M45" s="57" t="n">
        <x:f>J45*'Hypothèses &amp; sources'!$G$4</x:f>
        <x:v>7.15</x:v>
      </x:c>
      <x:c r="N45" s="57" t="n">
        <x:f>J45*'Hypothèses &amp; sources'!$H$4</x:f>
        <x:v>7.215000000000001</x:v>
      </x:c>
      <x:c r="O45" s="57" t="n">
        <x:f>J45*'Hypothèses &amp; sources'!$I$4</x:f>
        <x:v>8.06</x:v>
      </x:c>
      <x:c r="P45" s="57" t="str">
        <x:v>Lidl</x:v>
      </x:c>
      <x:c r="Q45" s="57" t="n">
        <x:f>IF(P45="Lidl",K45,IF(P45="Super U",L45,IF(P45="Carrefour",M45,IF(P45="Auchan",N45,O45))))</x:f>
        <x:v>6.5</x:v>
      </x:c>
      <x:c r="R45" s="57" t="n">
        <x:f>Q45/'Hypothèses &amp; sources'!$B$4</x:f>
        <x:v>1.625</x:v>
      </x:c>
      <x:c r="S45" s="56" t="n">
        <x:f>MAX(0,'Hypothèses &amp; sources'!$B$5*MAX(0,MIN(100,'Hypothèses &amp; sources'!$B$10-R45*'Hypothèses &amp; sources'!$B$9))+'Hypothèses &amp; sources'!$B$6*(G45/5*100)+'Hypothèses &amp; sources'!$B$7*(H45/5*100)+'Hypothèses &amp; sources'!$B$8*MAX(0,MIN(100,'Hypothèses &amp; sources'!$B$12-E45*'Hypothèses &amp; sources'!$B$11))-T45)</x:f>
        <x:v>78.36999999999999</x:v>
      </x:c>
      <x:c r="T45" s="33" t="n">
        <x:v>0</x:v>
      </x:c>
    </x:row>
    <x:row r="46">
      <x:c r="A46" s="33" t="n">
        <x:v>42</x:v>
      </x:c>
      <x:c r="B46" s="38" t="str">
        <x:v>Ramen miso</x:v>
      </x:c>
      <x:c r="C46" s="38" t="str">
        <x:v>Soupe / bouillon</x:v>
      </x:c>
      <x:c r="D46" s="38" t="str">
        <x:v>bouillon, oignon, pâtes / nouilles, miso, algues ou champignons, légumes</x:v>
      </x:c>
      <x:c r="E46" s="33" t="n">
        <x:v>15</x:v>
      </x:c>
      <x:c r="F46" s="33" t="n">
        <x:v>35</x:v>
      </x:c>
      <x:c r="G46" s="56" t="n">
        <x:v>3.5</x:v>
      </x:c>
      <x:c r="H46" s="56" t="n">
        <x:v>3.5</x:v>
      </x:c>
      <x:c r="I46" s="33" t="n">
        <x:v>2</x:v>
      </x:c>
      <x:c r="J46" s="57" t="n">
        <x:v>6.6</x:v>
      </x:c>
      <x:c r="K46" s="57" t="n">
        <x:f>J46*'Hypothèses &amp; sources'!$E$4</x:f>
        <x:v>6.6</x:v>
      </x:c>
      <x:c r="L46" s="57" t="n">
        <x:f>J46*'Hypothèses &amp; sources'!$F$4</x:f>
        <x:v>6.9959999999999996</x:v>
      </x:c>
      <x:c r="M46" s="57" t="n">
        <x:f>J46*'Hypothèses &amp; sources'!$G$4</x:f>
        <x:v>7.26</x:v>
      </x:c>
      <x:c r="N46" s="57" t="n">
        <x:f>J46*'Hypothèses &amp; sources'!$H$4</x:f>
        <x:v>7.3260000000000005</x:v>
      </x:c>
      <x:c r="O46" s="57" t="n">
        <x:f>J46*'Hypothèses &amp; sources'!$I$4</x:f>
        <x:v>8.184</x:v>
      </x:c>
      <x:c r="P46" s="57" t="str">
        <x:v>Carrefour</x:v>
      </x:c>
      <x:c r="Q46" s="57" t="n">
        <x:f>IF(P46="Lidl",K46,IF(P46="Super U",L46,IF(P46="Carrefour",M46,IF(P46="Auchan",N46,O46))))</x:f>
        <x:v>7.26</x:v>
      </x:c>
      <x:c r="R46" s="57" t="n">
        <x:f>Q46/'Hypothèses &amp; sources'!$B$4</x:f>
        <x:v>1.815</x:v>
      </x:c>
      <x:c r="S46" s="56" t="n">
        <x:f>MAX(0,'Hypothèses &amp; sources'!$B$5*MAX(0,MIN(100,'Hypothèses &amp; sources'!$B$10-R46*'Hypothèses &amp; sources'!$B$9))+'Hypothèses &amp; sources'!$B$6*(G46/5*100)+'Hypothèses &amp; sources'!$B$7*(H46/5*100)+'Hypothèses &amp; sources'!$B$8*MAX(0,MIN(100,'Hypothèses &amp; sources'!$B$12-E46*'Hypothèses &amp; sources'!$B$11))-T46)</x:f>
        <x:v>78.49239999999999</x:v>
      </x:c>
      <x:c r="T46" s="33" t="n">
        <x:v>0</x:v>
      </x:c>
    </x:row>
    <x:row r="47">
      <x:c r="A47" s="33" t="n">
        <x:v>43</x:v>
      </x:c>
      <x:c r="B47" s="38" t="str">
        <x:v>Chestnut mushroom &amp; ricotta soup</x:v>
      </x:c>
      <x:c r="C47" s="38" t="str">
        <x:v>Soupe / bouillon</x:v>
      </x:c>
      <x:c r="D47" s="38" t="str">
        <x:v>bouillon, oignon, champignons, crème / fromage</x:v>
      </x:c>
      <x:c r="E47" s="33" t="n">
        <x:v>15</x:v>
      </x:c>
      <x:c r="F47" s="33" t="n">
        <x:v>35</x:v>
      </x:c>
      <x:c r="G47" s="56" t="n">
        <x:v>3.5</x:v>
      </x:c>
      <x:c r="H47" s="56" t="n">
        <x:v>3.2</x:v>
      </x:c>
      <x:c r="I47" s="33" t="n">
        <x:v>0</x:v>
      </x:c>
      <x:c r="J47" s="57" t="n">
        <x:v>7.9</x:v>
      </x:c>
      <x:c r="K47" s="57" t="n">
        <x:f>J47*'Hypothèses &amp; sources'!$E$4</x:f>
        <x:v>7.9</x:v>
      </x:c>
      <x:c r="L47" s="57" t="n">
        <x:f>J47*'Hypothèses &amp; sources'!$F$4</x:f>
        <x:v>8.374</x:v>
      </x:c>
      <x:c r="M47" s="57" t="n">
        <x:f>J47*'Hypothèses &amp; sources'!$G$4</x:f>
        <x:v>8.690000000000001</x:v>
      </x:c>
      <x:c r="N47" s="57" t="n">
        <x:f>J47*'Hypothèses &amp; sources'!$H$4</x:f>
        <x:v>8.769000000000002</x:v>
      </x:c>
      <x:c r="O47" s="57" t="n">
        <x:f>J47*'Hypothèses &amp; sources'!$I$4</x:f>
        <x:v>9.796000000000001</x:v>
      </x:c>
      <x:c r="P47" s="57" t="str">
        <x:v>Lidl</x:v>
      </x:c>
      <x:c r="Q47" s="57" t="n">
        <x:f>IF(P47="Lidl",K47,IF(P47="Super U",L47,IF(P47="Carrefour",M47,IF(P47="Auchan",N47,O47))))</x:f>
        <x:v>7.9</x:v>
      </x:c>
      <x:c r="R47" s="57" t="n">
        <x:f>Q47/'Hypothèses &amp; sources'!$B$4</x:f>
        <x:v>1.975</x:v>
      </x:c>
      <x:c r="S47" s="56" t="n">
        <x:f>MAX(0,'Hypothèses &amp; sources'!$B$5*MAX(0,MIN(100,'Hypothèses &amp; sources'!$B$10-R47*'Hypothèses &amp; sources'!$B$9))+'Hypothèses &amp; sources'!$B$6*(G47/5*100)+'Hypothèses &amp; sources'!$B$7*(H47/5*100)+'Hypothèses &amp; sources'!$B$8*MAX(0,MIN(100,'Hypothèses &amp; sources'!$B$12-E47*'Hypothèses &amp; sources'!$B$11))-T47)</x:f>
        <x:v>76.606</x:v>
      </x:c>
      <x:c r="T47" s="33" t="n">
        <x:v>0</x:v>
      </x:c>
    </x:row>
    <x:row r="48">
      <x:c r="A48" s="33" t="n">
        <x:v>44</x:v>
      </x:c>
      <x:c r="B48" s="38" t="str">
        <x:v>Lentil soup with ham</x:v>
      </x:c>
      <x:c r="C48" s="38" t="str">
        <x:v>Soupe / bouillon</x:v>
      </x:c>
      <x:c r="D48" s="38" t="str">
        <x:v>bouillon, oignon, légumineuses, jambon</x:v>
      </x:c>
      <x:c r="E48" s="33" t="n">
        <x:v>15</x:v>
      </x:c>
      <x:c r="F48" s="33" t="n">
        <x:v>35</x:v>
      </x:c>
      <x:c r="G48" s="56" t="n">
        <x:v>4.5</x:v>
      </x:c>
      <x:c r="H48" s="56" t="n">
        <x:v>3.8</x:v>
      </x:c>
      <x:c r="I48" s="33" t="n">
        <x:v>0</x:v>
      </x:c>
      <x:c r="J48" s="57" t="n">
        <x:v>8.2</x:v>
      </x:c>
      <x:c r="K48" s="57" t="n">
        <x:f>J48*'Hypothèses &amp; sources'!$E$4</x:f>
        <x:v>8.2</x:v>
      </x:c>
      <x:c r="L48" s="57" t="n">
        <x:f>J48*'Hypothèses &amp; sources'!$F$4</x:f>
        <x:v>8.692</x:v>
      </x:c>
      <x:c r="M48" s="57" t="n">
        <x:f>J48*'Hypothèses &amp; sources'!$G$4</x:f>
        <x:v>9.02</x:v>
      </x:c>
      <x:c r="N48" s="57" t="n">
        <x:f>J48*'Hypothèses &amp; sources'!$H$4</x:f>
        <x:v>9.102</x:v>
      </x:c>
      <x:c r="O48" s="57" t="n">
        <x:f>J48*'Hypothèses &amp; sources'!$I$4</x:f>
        <x:v>10.168</x:v>
      </x:c>
      <x:c r="P48" s="57" t="str">
        <x:v>Lidl</x:v>
      </x:c>
      <x:c r="Q48" s="57" t="n">
        <x:f>IF(P48="Lidl",K48,IF(P48="Super U",L48,IF(P48="Carrefour",M48,IF(P48="Auchan",N48,O48))))</x:f>
        <x:v>8.2</x:v>
      </x:c>
      <x:c r="R48" s="57" t="n">
        <x:f>Q48/'Hypothèses &amp; sources'!$B$4</x:f>
        <x:v>2.05</x:v>
      </x:c>
      <x:c r="S48" s="56" t="n">
        <x:f>MAX(0,'Hypothèses &amp; sources'!$B$5*MAX(0,MIN(100,'Hypothèses &amp; sources'!$B$10-R48*'Hypothèses &amp; sources'!$B$9))+'Hypothèses &amp; sources'!$B$6*(G48/5*100)+'Hypothèses &amp; sources'!$B$7*(H48/5*100)+'Hypothèses &amp; sources'!$B$8*MAX(0,MIN(100,'Hypothèses &amp; sources'!$B$12-E48*'Hypothèses &amp; sources'!$B$11))-T48)</x:f>
        <x:v>83.988</x:v>
      </x:c>
      <x:c r="T48" s="33" t="n">
        <x:v>0</x:v>
      </x:c>
    </x:row>
    <x:row r="49">
      <x:c r="A49" s="33" t="n">
        <x:v>45</x:v>
      </x:c>
      <x:c r="B49" s="38" t="str">
        <x:v>Cilantro lemon wings</x:v>
      </x:c>
      <x:c r="C49" s="38" t="str">
        <x:v>Poulet / ailes</x:v>
      </x:c>
      <x:c r="D49" s="38" t="str">
        <x:v>ailes de poulet, coriandre, citron, ail, huile, épices</x:v>
      </x:c>
      <x:c r="E49" s="33" t="n">
        <x:v>15</x:v>
      </x:c>
      <x:c r="F49" s="33" t="n">
        <x:v>35</x:v>
      </x:c>
      <x:c r="G49" s="56" t="n">
        <x:v>4.1</x:v>
      </x:c>
      <x:c r="H49" s="56" t="n">
        <x:v>3.3</x:v>
      </x:c>
      <x:c r="I49" s="33" t="n">
        <x:v>0</x:v>
      </x:c>
      <x:c r="J49" s="57" t="n">
        <x:v>9.5</x:v>
      </x:c>
      <x:c r="K49" s="57" t="n">
        <x:f>J49*'Hypothèses &amp; sources'!$E$4</x:f>
        <x:v>9.5</x:v>
      </x:c>
      <x:c r="L49" s="57" t="n">
        <x:f>J49*'Hypothèses &amp; sources'!$F$4</x:f>
        <x:v>10.07</x:v>
      </x:c>
      <x:c r="M49" s="57" t="n">
        <x:f>J49*'Hypothèses &amp; sources'!$G$4</x:f>
        <x:v>10.450000000000001</x:v>
      </x:c>
      <x:c r="N49" s="57" t="n">
        <x:f>J49*'Hypothèses &amp; sources'!$H$4</x:f>
        <x:v>10.545000000000002</x:v>
      </x:c>
      <x:c r="O49" s="57" t="n">
        <x:f>J49*'Hypothèses &amp; sources'!$I$4</x:f>
        <x:v>11.78</x:v>
      </x:c>
      <x:c r="P49" s="57" t="str">
        <x:v>Lidl</x:v>
      </x:c>
      <x:c r="Q49" s="57" t="n">
        <x:f>IF(P49="Lidl",K49,IF(P49="Super U",L49,IF(P49="Carrefour",M49,IF(P49="Auchan",N49,O49))))</x:f>
        <x:v>9.5</x:v>
      </x:c>
      <x:c r="R49" s="57" t="n">
        <x:f>Q49/'Hypothèses &amp; sources'!$B$4</x:f>
        <x:v>2.375</x:v>
      </x:c>
      <x:c r="S49" s="56" t="n">
        <x:f>MAX(0,'Hypothèses &amp; sources'!$B$5*MAX(0,MIN(100,'Hypothèses &amp; sources'!$B$10-R49*'Hypothèses &amp; sources'!$B$9))+'Hypothèses &amp; sources'!$B$6*(G49/5*100)+'Hypothèses &amp; sources'!$B$7*(H49/5*100)+'Hypothèses &amp; sources'!$B$8*MAX(0,MIN(100,'Hypothèses &amp; sources'!$B$12-E49*'Hypothèses &amp; sources'!$B$11))-T49)</x:f>
        <x:v>78.30999999999999</x:v>
      </x:c>
      <x:c r="T49" s="33" t="n">
        <x:v>0</x:v>
      </x:c>
    </x:row>
    <x:row r="50">
      <x:c r="A50" s="33" t="n">
        <x:v>46</x:v>
      </x:c>
      <x:c r="B50" s="38" t="str">
        <x:v>Quick chicken and bean stew</x:v>
      </x:c>
      <x:c r="C50" s="38" t="str">
        <x:v>Mijoté / poulet</x:v>
      </x:c>
      <x:c r="D50" s="38" t="str">
        <x:v>poulet, haricots blancs, tomates, oignon, carotte, bouillon</x:v>
      </x:c>
      <x:c r="E50" s="33" t="n">
        <x:v>15</x:v>
      </x:c>
      <x:c r="F50" s="33" t="n">
        <x:v>35</x:v>
      </x:c>
      <x:c r="G50" s="56" t="n">
        <x:v>4.8</x:v>
      </x:c>
      <x:c r="H50" s="56" t="n">
        <x:v>4.5</x:v>
      </x:c>
      <x:c r="I50" s="33" t="n">
        <x:v>0</x:v>
      </x:c>
      <x:c r="J50" s="57" t="n">
        <x:v>9.5</x:v>
      </x:c>
      <x:c r="K50" s="57" t="n">
        <x:f>J50*'Hypothèses &amp; sources'!$E$4</x:f>
        <x:v>9.5</x:v>
      </x:c>
      <x:c r="L50" s="57" t="n">
        <x:f>J50*'Hypothèses &amp; sources'!$F$4</x:f>
        <x:v>10.07</x:v>
      </x:c>
      <x:c r="M50" s="57" t="n">
        <x:f>J50*'Hypothèses &amp; sources'!$G$4</x:f>
        <x:v>10.450000000000001</x:v>
      </x:c>
      <x:c r="N50" s="57" t="n">
        <x:f>J50*'Hypothèses &amp; sources'!$H$4</x:f>
        <x:v>10.545000000000002</x:v>
      </x:c>
      <x:c r="O50" s="57" t="n">
        <x:f>J50*'Hypothèses &amp; sources'!$I$4</x:f>
        <x:v>11.78</x:v>
      </x:c>
      <x:c r="P50" s="57" t="str">
        <x:v>Lidl</x:v>
      </x:c>
      <x:c r="Q50" s="57" t="n">
        <x:f>IF(P50="Lidl",K50,IF(P50="Super U",L50,IF(P50="Carrefour",M50,IF(P50="Auchan",N50,O50))))</x:f>
        <x:v>9.5</x:v>
      </x:c>
      <x:c r="R50" s="57" t="n">
        <x:f>Q50/'Hypothèses &amp; sources'!$B$4</x:f>
        <x:v>2.375</x:v>
      </x:c>
      <x:c r="S50" s="56" t="n">
        <x:f>MAX(0,'Hypothèses &amp; sources'!$B$5*MAX(0,MIN(100,'Hypothèses &amp; sources'!$B$10-R50*'Hypothèses &amp; sources'!$B$9))+'Hypothèses &amp; sources'!$B$6*(G50/5*100)+'Hypothèses &amp; sources'!$B$7*(H50/5*100)+'Hypothèses &amp; sources'!$B$8*MAX(0,MIN(100,'Hypothèses &amp; sources'!$B$12-E50*'Hypothèses &amp; sources'!$B$11))-T50)</x:f>
        <x:v>86.55</x:v>
      </x:c>
      <x:c r="T50" s="33" t="n">
        <x:v>0</x:v>
      </x:c>
    </x:row>
    <x:row r="51">
      <x:c r="A51" s="33" t="n">
        <x:v>47</x:v>
      </x:c>
      <x:c r="B51" s="38" t="str">
        <x:v>Caldo tlalpeno/soupe au poulet et aux pois chiche</x:v>
      </x:c>
      <x:c r="C51" s="38" t="str">
        <x:v>Soupe / bouillon</x:v>
      </x:c>
      <x:c r="D51" s="38" t="str">
        <x:v>bouillon, oignon, légumineuses, poulet</x:v>
      </x:c>
      <x:c r="E51" s="33" t="n">
        <x:v>15</x:v>
      </x:c>
      <x:c r="F51" s="33" t="n">
        <x:v>35</x:v>
      </x:c>
      <x:c r="G51" s="56" t="n">
        <x:v>4.7</x:v>
      </x:c>
      <x:c r="H51" s="56" t="n">
        <x:v>4.2</x:v>
      </x:c>
      <x:c r="I51" s="33" t="n">
        <x:v>0</x:v>
      </x:c>
      <x:c r="J51" s="57" t="n">
        <x:v>9.8</x:v>
      </x:c>
      <x:c r="K51" s="57" t="n">
        <x:f>J51*'Hypothèses &amp; sources'!$E$4</x:f>
        <x:v>9.8</x:v>
      </x:c>
      <x:c r="L51" s="57" t="n">
        <x:f>J51*'Hypothèses &amp; sources'!$F$4</x:f>
        <x:v>10.388000000000002</x:v>
      </x:c>
      <x:c r="M51" s="57" t="n">
        <x:f>J51*'Hypothèses &amp; sources'!$G$4</x:f>
        <x:v>10.780000000000001</x:v>
      </x:c>
      <x:c r="N51" s="57" t="n">
        <x:f>J51*'Hypothèses &amp; sources'!$H$4</x:f>
        <x:v>10.878000000000002</x:v>
      </x:c>
      <x:c r="O51" s="57" t="n">
        <x:f>J51*'Hypothèses &amp; sources'!$I$4</x:f>
        <x:v>12.152000000000001</x:v>
      </x:c>
      <x:c r="P51" s="57" t="str">
        <x:v>Lidl</x:v>
      </x:c>
      <x:c r="Q51" s="57" t="n">
        <x:f>IF(P51="Lidl",K51,IF(P51="Super U",L51,IF(P51="Carrefour",M51,IF(P51="Auchan",N51,O51))))</x:f>
        <x:v>9.8</x:v>
      </x:c>
      <x:c r="R51" s="57" t="n">
        <x:f>Q51/'Hypothèses &amp; sources'!$B$4</x:f>
        <x:v>2.45</x:v>
      </x:c>
      <x:c r="S51" s="56" t="n">
        <x:f>MAX(0,'Hypothèses &amp; sources'!$B$5*MAX(0,MIN(100,'Hypothèses &amp; sources'!$B$10-R51*'Hypothèses &amp; sources'!$B$9))+'Hypothèses &amp; sources'!$B$6*(G51/5*100)+'Hypothèses &amp; sources'!$B$7*(H51/5*100)+'Hypothèses &amp; sources'!$B$8*MAX(0,MIN(100,'Hypothèses &amp; sources'!$B$12-E51*'Hypothèses &amp; sources'!$B$11))-T51)</x:f>
        <x:v>84.532</x:v>
      </x:c>
      <x:c r="T51" s="33" t="n">
        <x:v>0</x:v>
      </x:c>
    </x:row>
    <x:row r="52">
      <x:c r="A52" s="33" t="n">
        <x:v>48</x:v>
      </x:c>
      <x:c r="B52" s="38" t="str">
        <x:v>Chicken fajita soup</x:v>
      </x:c>
      <x:c r="C52" s="38" t="str">
        <x:v>Soupe / bouillon</x:v>
      </x:c>
      <x:c r="D52" s="38" t="str">
        <x:v>bouillon, oignon, poulet, légumes</x:v>
      </x:c>
      <x:c r="E52" s="33" t="n">
        <x:v>15</x:v>
      </x:c>
      <x:c r="F52" s="33" t="n">
        <x:v>35</x:v>
      </x:c>
      <x:c r="G52" s="56" t="n">
        <x:v>3.9</x:v>
      </x:c>
      <x:c r="H52" s="56" t="n">
        <x:v>3.9</x:v>
      </x:c>
      <x:c r="I52" s="33" t="n">
        <x:v>0</x:v>
      </x:c>
      <x:c r="J52" s="57" t="n">
        <x:v>9.9</x:v>
      </x:c>
      <x:c r="K52" s="57" t="n">
        <x:f>J52*'Hypothèses &amp; sources'!$E$4</x:f>
        <x:v>9.9</x:v>
      </x:c>
      <x:c r="L52" s="57" t="n">
        <x:f>J52*'Hypothèses &amp; sources'!$F$4</x:f>
        <x:v>10.494000000000002</x:v>
      </x:c>
      <x:c r="M52" s="57" t="n">
        <x:f>J52*'Hypothèses &amp; sources'!$G$4</x:f>
        <x:v>10.89</x:v>
      </x:c>
      <x:c r="N52" s="57" t="n">
        <x:f>J52*'Hypothèses &amp; sources'!$H$4</x:f>
        <x:v>10.989</x:v>
      </x:c>
      <x:c r="O52" s="57" t="n">
        <x:f>J52*'Hypothèses &amp; sources'!$I$4</x:f>
        <x:v>12.276</x:v>
      </x:c>
      <x:c r="P52" s="57" t="str">
        <x:v>Lidl</x:v>
      </x:c>
      <x:c r="Q52" s="57" t="n">
        <x:f>IF(P52="Lidl",K52,IF(P52="Super U",L52,IF(P52="Carrefour",M52,IF(P52="Auchan",N52,O52))))</x:f>
        <x:v>9.9</x:v>
      </x:c>
      <x:c r="R52" s="57" t="n">
        <x:f>Q52/'Hypothèses &amp; sources'!$B$4</x:f>
        <x:v>2.475</x:v>
      </x:c>
      <x:c r="S52" s="56" t="n">
        <x:f>MAX(0,'Hypothèses &amp; sources'!$B$5*MAX(0,MIN(100,'Hypothèses &amp; sources'!$B$10-R52*'Hypothèses &amp; sources'!$B$9))+'Hypothèses &amp; sources'!$B$6*(G52/5*100)+'Hypothèses &amp; sources'!$B$7*(H52/5*100)+'Hypothèses &amp; sources'!$B$8*MAX(0,MIN(100,'Hypothèses &amp; sources'!$B$12-E52*'Hypothèses &amp; sources'!$B$11))-T52)</x:f>
        <x:v>78.84599999999999</x:v>
      </x:c>
      <x:c r="T52" s="33" t="n">
        <x:v>0</x:v>
      </x:c>
    </x:row>
    <x:row r="53">
      <x:c r="A53" s="33" t="n">
        <x:v>49</x:v>
      </x:c>
      <x:c r="B53" s="38" t="str">
        <x:v>Congee au poulet</x:v>
      </x:c>
      <x:c r="C53" s="38" t="str">
        <x:v>Soupe / bouillon</x:v>
      </x:c>
      <x:c r="D53" s="38" t="str">
        <x:v>bouillon, oignon, poulet, légumes</x:v>
      </x:c>
      <x:c r="E53" s="33" t="n">
        <x:v>15</x:v>
      </x:c>
      <x:c r="F53" s="33" t="n">
        <x:v>35</x:v>
      </x:c>
      <x:c r="G53" s="56" t="n">
        <x:v>3.9</x:v>
      </x:c>
      <x:c r="H53" s="56" t="n">
        <x:v>3.9</x:v>
      </x:c>
      <x:c r="I53" s="33" t="n">
        <x:v>0</x:v>
      </x:c>
      <x:c r="J53" s="57" t="n">
        <x:v>9.9</x:v>
      </x:c>
      <x:c r="K53" s="57" t="n">
        <x:f>J53*'Hypothèses &amp; sources'!$E$4</x:f>
        <x:v>9.9</x:v>
      </x:c>
      <x:c r="L53" s="57" t="n">
        <x:f>J53*'Hypothèses &amp; sources'!$F$4</x:f>
        <x:v>10.494000000000002</x:v>
      </x:c>
      <x:c r="M53" s="57" t="n">
        <x:f>J53*'Hypothèses &amp; sources'!$G$4</x:f>
        <x:v>10.89</x:v>
      </x:c>
      <x:c r="N53" s="57" t="n">
        <x:f>J53*'Hypothèses &amp; sources'!$H$4</x:f>
        <x:v>10.989</x:v>
      </x:c>
      <x:c r="O53" s="57" t="n">
        <x:f>J53*'Hypothèses &amp; sources'!$I$4</x:f>
        <x:v>12.276</x:v>
      </x:c>
      <x:c r="P53" s="57" t="str">
        <x:v>Lidl</x:v>
      </x:c>
      <x:c r="Q53" s="57" t="n">
        <x:f>IF(P53="Lidl",K53,IF(P53="Super U",L53,IF(P53="Carrefour",M53,IF(P53="Auchan",N53,O53))))</x:f>
        <x:v>9.9</x:v>
      </x:c>
      <x:c r="R53" s="57" t="n">
        <x:f>Q53/'Hypothèses &amp; sources'!$B$4</x:f>
        <x:v>2.475</x:v>
      </x:c>
      <x:c r="S53" s="56" t="n">
        <x:f>MAX(0,'Hypothèses &amp; sources'!$B$5*MAX(0,MIN(100,'Hypothèses &amp; sources'!$B$10-R53*'Hypothèses &amp; sources'!$B$9))+'Hypothèses &amp; sources'!$B$6*(G53/5*100)+'Hypothèses &amp; sources'!$B$7*(H53/5*100)+'Hypothèses &amp; sources'!$B$8*MAX(0,MIN(100,'Hypothèses &amp; sources'!$B$12-E53*'Hypothèses &amp; sources'!$B$11))-T53)</x:f>
        <x:v>78.84599999999999</x:v>
      </x:c>
      <x:c r="T53" s="33" t="n">
        <x:v>0</x:v>
      </x:c>
    </x:row>
    <x:row r="54">
      <x:c r="A54" s="33" t="n">
        <x:v>50</x:v>
      </x:c>
      <x:c r="B54" s="38" t="str">
        <x:v>Green chicken pozole</x:v>
      </x:c>
      <x:c r="C54" s="38" t="str">
        <x:v>Soupe / bouillon</x:v>
      </x:c>
      <x:c r="D54" s="38" t="str">
        <x:v>bouillon, oignon, poulet, légumes</x:v>
      </x:c>
      <x:c r="E54" s="33" t="n">
        <x:v>15</x:v>
      </x:c>
      <x:c r="F54" s="33" t="n">
        <x:v>35</x:v>
      </x:c>
      <x:c r="G54" s="56" t="n">
        <x:v>3.9</x:v>
      </x:c>
      <x:c r="H54" s="56" t="n">
        <x:v>3.9</x:v>
      </x:c>
      <x:c r="I54" s="33" t="n">
        <x:v>0</x:v>
      </x:c>
      <x:c r="J54" s="57" t="n">
        <x:v>9.9</x:v>
      </x:c>
      <x:c r="K54" s="57" t="n">
        <x:f>J54*'Hypothèses &amp; sources'!$E$4</x:f>
        <x:v>9.9</x:v>
      </x:c>
      <x:c r="L54" s="57" t="n">
        <x:f>J54*'Hypothèses &amp; sources'!$F$4</x:f>
        <x:v>10.494000000000002</x:v>
      </x:c>
      <x:c r="M54" s="57" t="n">
        <x:f>J54*'Hypothèses &amp; sources'!$G$4</x:f>
        <x:v>10.89</x:v>
      </x:c>
      <x:c r="N54" s="57" t="n">
        <x:f>J54*'Hypothèses &amp; sources'!$H$4</x:f>
        <x:v>10.989</x:v>
      </x:c>
      <x:c r="O54" s="57" t="n">
        <x:f>J54*'Hypothèses &amp; sources'!$I$4</x:f>
        <x:v>12.276</x:v>
      </x:c>
      <x:c r="P54" s="57" t="str">
        <x:v>Lidl</x:v>
      </x:c>
      <x:c r="Q54" s="57" t="n">
        <x:f>IF(P54="Lidl",K54,IF(P54="Super U",L54,IF(P54="Carrefour",M54,IF(P54="Auchan",N54,O54))))</x:f>
        <x:v>9.9</x:v>
      </x:c>
      <x:c r="R54" s="57" t="n">
        <x:f>Q54/'Hypothèses &amp; sources'!$B$4</x:f>
        <x:v>2.475</x:v>
      </x:c>
      <x:c r="S54" s="56" t="n">
        <x:f>MAX(0,'Hypothèses &amp; sources'!$B$5*MAX(0,MIN(100,'Hypothèses &amp; sources'!$B$10-R54*'Hypothèses &amp; sources'!$B$9))+'Hypothèses &amp; sources'!$B$6*(G54/5*100)+'Hypothèses &amp; sources'!$B$7*(H54/5*100)+'Hypothèses &amp; sources'!$B$8*MAX(0,MIN(100,'Hypothèses &amp; sources'!$B$12-E54*'Hypothèses &amp; sources'!$B$11))-T54)</x:f>
        <x:v>78.84599999999999</x:v>
      </x:c>
      <x:c r="T54" s="33" t="n">
        <x:v>0</x:v>
      </x:c>
    </x:row>
    <x:row r="55">
      <x:c r="A55" s="33" t="n">
        <x:v>51</x:v>
      </x:c>
      <x:c r="B55" s="38" t="str">
        <x:v>Italian chicken soup</x:v>
      </x:c>
      <x:c r="C55" s="38" t="str">
        <x:v>Soupe / bouillon</x:v>
      </x:c>
      <x:c r="D55" s="38" t="str">
        <x:v>bouillon, oignon, poulet, légumes</x:v>
      </x:c>
      <x:c r="E55" s="33" t="n">
        <x:v>15</x:v>
      </x:c>
      <x:c r="F55" s="33" t="n">
        <x:v>35</x:v>
      </x:c>
      <x:c r="G55" s="56" t="n">
        <x:v>3.9</x:v>
      </x:c>
      <x:c r="H55" s="56" t="n">
        <x:v>3.9</x:v>
      </x:c>
      <x:c r="I55" s="33" t="n">
        <x:v>0</x:v>
      </x:c>
      <x:c r="J55" s="57" t="n">
        <x:v>9.9</x:v>
      </x:c>
      <x:c r="K55" s="57" t="n">
        <x:f>J55*'Hypothèses &amp; sources'!$E$4</x:f>
        <x:v>9.9</x:v>
      </x:c>
      <x:c r="L55" s="57" t="n">
        <x:f>J55*'Hypothèses &amp; sources'!$F$4</x:f>
        <x:v>10.494000000000002</x:v>
      </x:c>
      <x:c r="M55" s="57" t="n">
        <x:f>J55*'Hypothèses &amp; sources'!$G$4</x:f>
        <x:v>10.89</x:v>
      </x:c>
      <x:c r="N55" s="57" t="n">
        <x:f>J55*'Hypothèses &amp; sources'!$H$4</x:f>
        <x:v>10.989</x:v>
      </x:c>
      <x:c r="O55" s="57" t="n">
        <x:f>J55*'Hypothèses &amp; sources'!$I$4</x:f>
        <x:v>12.276</x:v>
      </x:c>
      <x:c r="P55" s="57" t="str">
        <x:v>Lidl</x:v>
      </x:c>
      <x:c r="Q55" s="57" t="n">
        <x:f>IF(P55="Lidl",K55,IF(P55="Super U",L55,IF(P55="Carrefour",M55,IF(P55="Auchan",N55,O55))))</x:f>
        <x:v>9.9</x:v>
      </x:c>
      <x:c r="R55" s="57" t="n">
        <x:f>Q55/'Hypothèses &amp; sources'!$B$4</x:f>
        <x:v>2.475</x:v>
      </x:c>
      <x:c r="S55" s="56" t="n">
        <x:f>MAX(0,'Hypothèses &amp; sources'!$B$5*MAX(0,MIN(100,'Hypothèses &amp; sources'!$B$10-R55*'Hypothèses &amp; sources'!$B$9))+'Hypothèses &amp; sources'!$B$6*(G55/5*100)+'Hypothèses &amp; sources'!$B$7*(H55/5*100)+'Hypothèses &amp; sources'!$B$8*MAX(0,MIN(100,'Hypothèses &amp; sources'!$B$12-E55*'Hypothèses &amp; sources'!$B$11))-T55)</x:f>
        <x:v>78.84599999999999</x:v>
      </x:c>
      <x:c r="T55" s="33" t="n">
        <x:v>0</x:v>
      </x:c>
    </x:row>
    <x:row r="56">
      <x:c r="A56" s="33" t="n">
        <x:v>52</x:v>
      </x:c>
      <x:c r="B56" s="38" t="str">
        <x:v>Ginger turkey soup</x:v>
      </x:c>
      <x:c r="C56" s="38" t="str">
        <x:v>Soupe / bouillon</x:v>
      </x:c>
      <x:c r="D56" s="38" t="str">
        <x:v>gingembre, bouillon, oignon, dinde, légumes</x:v>
      </x:c>
      <x:c r="E56" s="33" t="n">
        <x:v>15</x:v>
      </x:c>
      <x:c r="F56" s="33" t="n">
        <x:v>35</x:v>
      </x:c>
      <x:c r="G56" s="56" t="n">
        <x:v>3.9</x:v>
      </x:c>
      <x:c r="H56" s="56" t="n">
        <x:v>3.9</x:v>
      </x:c>
      <x:c r="I56" s="33" t="n">
        <x:v>0</x:v>
      </x:c>
      <x:c r="J56" s="57" t="n">
        <x:v>10.7</x:v>
      </x:c>
      <x:c r="K56" s="57" t="n">
        <x:f>J56*'Hypothèses &amp; sources'!$E$4</x:f>
        <x:v>10.7</x:v>
      </x:c>
      <x:c r="L56" s="57" t="n">
        <x:f>J56*'Hypothèses &amp; sources'!$F$4</x:f>
        <x:v>11.342</x:v>
      </x:c>
      <x:c r="M56" s="57" t="n">
        <x:f>J56*'Hypothèses &amp; sources'!$G$4</x:f>
        <x:v>11.77</x:v>
      </x:c>
      <x:c r="N56" s="57" t="n">
        <x:f>J56*'Hypothèses &amp; sources'!$H$4</x:f>
        <x:v>11.877</x:v>
      </x:c>
      <x:c r="O56" s="57" t="n">
        <x:f>J56*'Hypothèses &amp; sources'!$I$4</x:f>
        <x:v>13.267999999999999</x:v>
      </x:c>
      <x:c r="P56" s="57" t="str">
        <x:v>Lidl</x:v>
      </x:c>
      <x:c r="Q56" s="57" t="n">
        <x:f>IF(P56="Lidl",K56,IF(P56="Super U",L56,IF(P56="Carrefour",M56,IF(P56="Auchan",N56,O56))))</x:f>
        <x:v>10.7</x:v>
      </x:c>
      <x:c r="R56" s="57" t="n">
        <x:f>Q56/'Hypothèses &amp; sources'!$B$4</x:f>
        <x:v>2.675</x:v>
      </x:c>
      <x:c r="S56" s="56" t="n">
        <x:f>MAX(0,'Hypothèses &amp; sources'!$B$5*MAX(0,MIN(100,'Hypothèses &amp; sources'!$B$10-R56*'Hypothèses &amp; sources'!$B$9))+'Hypothèses &amp; sources'!$B$6*(G56/5*100)+'Hypothèses &amp; sources'!$B$7*(H56/5*100)+'Hypothèses &amp; sources'!$B$8*MAX(0,MIN(100,'Hypothèses &amp; sources'!$B$12-E56*'Hypothèses &amp; sources'!$B$11))-T56)</x:f>
        <x:v>77.83800000000001</x:v>
      </x:c>
      <x:c r="T56" s="33" t="n">
        <x:v>0</x:v>
      </x:c>
    </x:row>
    <x:row r="57">
      <x:c r="A57" s="33" t="n">
        <x:v>53</x:v>
      </x:c>
      <x:c r="B57" s="38" t="str">
        <x:v>Ramen au poulet</x:v>
      </x:c>
      <x:c r="C57" s="38" t="str">
        <x:v>Soupe / bouillon</x:v>
      </x:c>
      <x:c r="D57" s="38" t="str">
        <x:v>bouillon, oignon, pâtes / nouilles, poulet, légumes</x:v>
      </x:c>
      <x:c r="E57" s="33" t="n">
        <x:v>15</x:v>
      </x:c>
      <x:c r="F57" s="33" t="n">
        <x:v>35</x:v>
      </x:c>
      <x:c r="G57" s="56" t="n">
        <x:v>4.2</x:v>
      </x:c>
      <x:c r="H57" s="56" t="n">
        <x:v>3.9</x:v>
      </x:c>
      <x:c r="I57" s="33" t="n">
        <x:v>0</x:v>
      </x:c>
      <x:c r="J57" s="57" t="n">
        <x:v>11</x:v>
      </x:c>
      <x:c r="K57" s="57" t="n">
        <x:f>J57*'Hypothèses &amp; sources'!$E$4</x:f>
        <x:v>11</x:v>
      </x:c>
      <x:c r="L57" s="57" t="n">
        <x:f>J57*'Hypothèses &amp; sources'!$F$4</x:f>
        <x:v>11.66</x:v>
      </x:c>
      <x:c r="M57" s="57" t="n">
        <x:f>J57*'Hypothèses &amp; sources'!$G$4</x:f>
        <x:v>12.100000000000001</x:v>
      </x:c>
      <x:c r="N57" s="57" t="n">
        <x:f>J57*'Hypothèses &amp; sources'!$H$4</x:f>
        <x:v>12.21</x:v>
      </x:c>
      <x:c r="O57" s="57" t="n">
        <x:f>J57*'Hypothèses &amp; sources'!$I$4</x:f>
        <x:v>13.64</x:v>
      </x:c>
      <x:c r="P57" s="57" t="str">
        <x:v>Lidl</x:v>
      </x:c>
      <x:c r="Q57" s="57" t="n">
        <x:f>IF(P57="Lidl",K57,IF(P57="Super U",L57,IF(P57="Carrefour",M57,IF(P57="Auchan",N57,O57))))</x:f>
        <x:v>11</x:v>
      </x:c>
      <x:c r="R57" s="57" t="n">
        <x:f>Q57/'Hypothèses &amp; sources'!$B$4</x:f>
        <x:v>2.75</x:v>
      </x:c>
      <x:c r="S57" s="56" t="n">
        <x:f>MAX(0,'Hypothèses &amp; sources'!$B$5*MAX(0,MIN(100,'Hypothèses &amp; sources'!$B$10-R57*'Hypothèses &amp; sources'!$B$9))+'Hypothèses &amp; sources'!$B$6*(G57/5*100)+'Hypothèses &amp; sources'!$B$7*(H57/5*100)+'Hypothèses &amp; sources'!$B$8*MAX(0,MIN(100,'Hypothèses &amp; sources'!$B$12-E57*'Hypothèses &amp; sources'!$B$11))-T57)</x:f>
        <x:v>79.14</x:v>
      </x:c>
      <x:c r="T57" s="33" t="n">
        <x:v>0</x:v>
      </x:c>
    </x:row>
    <x:row r="58">
      <x:c r="A58" s="33" t="n">
        <x:v>54</x:v>
      </x:c>
      <x:c r="B58" s="38" t="str">
        <x:v>Soupe tortilla au poulet</x:v>
      </x:c>
      <x:c r="C58" s="38" t="str">
        <x:v>Soupe / bouillon</x:v>
      </x:c>
      <x:c r="D58" s="38" t="str">
        <x:v>bouillon, oignon, poulet, tortillas, légumes</x:v>
      </x:c>
      <x:c r="E58" s="33" t="n">
        <x:v>15</x:v>
      </x:c>
      <x:c r="F58" s="33" t="n">
        <x:v>35</x:v>
      </x:c>
      <x:c r="G58" s="56" t="n">
        <x:v>3.9</x:v>
      </x:c>
      <x:c r="H58" s="56" t="n">
        <x:v>3.9</x:v>
      </x:c>
      <x:c r="I58" s="33" t="n">
        <x:v>0</x:v>
      </x:c>
      <x:c r="J58" s="57" t="n">
        <x:v>11.4</x:v>
      </x:c>
      <x:c r="K58" s="57" t="n">
        <x:f>J58*'Hypothèses &amp; sources'!$E$4</x:f>
        <x:v>11.4</x:v>
      </x:c>
      <x:c r="L58" s="57" t="n">
        <x:f>J58*'Hypothèses &amp; sources'!$F$4</x:f>
        <x:v>12.084000000000001</x:v>
      </x:c>
      <x:c r="M58" s="57" t="n">
        <x:f>J58*'Hypothèses &amp; sources'!$G$4</x:f>
        <x:v>12.540000000000001</x:v>
      </x:c>
      <x:c r="N58" s="57" t="n">
        <x:f>J58*'Hypothèses &amp; sources'!$H$4</x:f>
        <x:v>12.654000000000002</x:v>
      </x:c>
      <x:c r="O58" s="57" t="n">
        <x:f>J58*'Hypothèses &amp; sources'!$I$4</x:f>
        <x:v>14.136000000000001</x:v>
      </x:c>
      <x:c r="P58" s="57" t="str">
        <x:v>Lidl</x:v>
      </x:c>
      <x:c r="Q58" s="57" t="n">
        <x:f>IF(P58="Lidl",K58,IF(P58="Super U",L58,IF(P58="Carrefour",M58,IF(P58="Auchan",N58,O58))))</x:f>
        <x:v>11.4</x:v>
      </x:c>
      <x:c r="R58" s="57" t="n">
        <x:f>Q58/'Hypothèses &amp; sources'!$B$4</x:f>
        <x:v>2.85</x:v>
      </x:c>
      <x:c r="S58" s="56" t="n">
        <x:f>MAX(0,'Hypothèses &amp; sources'!$B$5*MAX(0,MIN(100,'Hypothèses &amp; sources'!$B$10-R58*'Hypothèses &amp; sources'!$B$9))+'Hypothèses &amp; sources'!$B$6*(G58/5*100)+'Hypothèses &amp; sources'!$B$7*(H58/5*100)+'Hypothèses &amp; sources'!$B$8*MAX(0,MIN(100,'Hypothèses &amp; sources'!$B$12-E58*'Hypothèses &amp; sources'!$B$11))-T58)</x:f>
        <x:v>76.956</x:v>
      </x:c>
      <x:c r="T58" s="33" t="n">
        <x:v>0</x:v>
      </x:c>
    </x:row>
    <x:row r="59">
      <x:c r="A59" s="33" t="n">
        <x:v>55</x:v>
      </x:c>
      <x:c r="B59" s="38" t="str">
        <x:v>Soupe enchilada au poulet et au fromage</x:v>
      </x:c>
      <x:c r="C59" s="38" t="str">
        <x:v>Soupe / bouillon</x:v>
      </x:c>
      <x:c r="D59" s="38" t="str">
        <x:v>bouillon, oignon, poulet, crème / fromage, légumes</x:v>
      </x:c>
      <x:c r="E59" s="33" t="n">
        <x:v>15</x:v>
      </x:c>
      <x:c r="F59" s="33" t="n">
        <x:v>35</x:v>
      </x:c>
      <x:c r="G59" s="56" t="n">
        <x:v>4.2</x:v>
      </x:c>
      <x:c r="H59" s="56" t="n">
        <x:v>3.8</x:v>
      </x:c>
      <x:c r="I59" s="33" t="n">
        <x:v>0</x:v>
      </x:c>
      <x:c r="J59" s="57" t="n">
        <x:v>13.1</x:v>
      </x:c>
      <x:c r="K59" s="57" t="n">
        <x:f>J59*'Hypothèses &amp; sources'!$E$4</x:f>
        <x:v>13.1</x:v>
      </x:c>
      <x:c r="L59" s="57" t="n">
        <x:f>J59*'Hypothèses &amp; sources'!$F$4</x:f>
        <x:v>13.886000000000001</x:v>
      </x:c>
      <x:c r="M59" s="57" t="n">
        <x:f>J59*'Hypothèses &amp; sources'!$G$4</x:f>
        <x:v>14.41</x:v>
      </x:c>
      <x:c r="N59" s="57" t="n">
        <x:f>J59*'Hypothèses &amp; sources'!$H$4</x:f>
        <x:v>14.541</x:v>
      </x:c>
      <x:c r="O59" s="57" t="n">
        <x:f>J59*'Hypothèses &amp; sources'!$I$4</x:f>
        <x:v>16.244</x:v>
      </x:c>
      <x:c r="P59" s="57" t="str">
        <x:v>Lidl</x:v>
      </x:c>
      <x:c r="Q59" s="57" t="n">
        <x:f>IF(P59="Lidl",K59,IF(P59="Super U",L59,IF(P59="Carrefour",M59,IF(P59="Auchan",N59,O59))))</x:f>
        <x:v>13.1</x:v>
      </x:c>
      <x:c r="R59" s="57" t="n">
        <x:f>Q59/'Hypothèses &amp; sources'!$B$4</x:f>
        <x:v>3.275</x:v>
      </x:c>
      <x:c r="S59" s="56" t="n">
        <x:f>MAX(0,'Hypothèses &amp; sources'!$B$5*MAX(0,MIN(100,'Hypothèses &amp; sources'!$B$10-R59*'Hypothèses &amp; sources'!$B$9))+'Hypothèses &amp; sources'!$B$6*(G59/5*100)+'Hypothèses &amp; sources'!$B$7*(H59/5*100)+'Hypothèses &amp; sources'!$B$8*MAX(0,MIN(100,'Hypothèses &amp; sources'!$B$12-E59*'Hypothèses &amp; sources'!$B$11))-T59)</x:f>
        <x:v>76.134</x:v>
      </x:c>
      <x:c r="T59" s="33" t="n">
        <x:v>0</x:v>
      </x:c>
    </x:row>
    <x:row r="60">
      <x:c r="A60" s="33" t="n">
        <x:v>56</x:v>
      </x:c>
      <x:c r="B60" s="38" t="str">
        <x:v>Creamy shrimp soup</x:v>
      </x:c>
      <x:c r="C60" s="38" t="str">
        <x:v>Soupe / bouillon</x:v>
      </x:c>
      <x:c r="D60" s="38" t="str">
        <x:v>bouillon, oignon, crevettes, crème / fromage, légumes</x:v>
      </x:c>
      <x:c r="E60" s="33" t="n">
        <x:v>15</x:v>
      </x:c>
      <x:c r="F60" s="33" t="n">
        <x:v>35</x:v>
      </x:c>
      <x:c r="G60" s="56" t="n">
        <x:v>3.5</x:v>
      </x:c>
      <x:c r="H60" s="56" t="n">
        <x:v>3.8</x:v>
      </x:c>
      <x:c r="I60" s="33" t="n">
        <x:v>1</x:v>
      </x:c>
      <x:c r="J60" s="57" t="n">
        <x:v>17.2</x:v>
      </x:c>
      <x:c r="K60" s="57" t="n">
        <x:f>J60*'Hypothèses &amp; sources'!$E$4</x:f>
        <x:v>17.2</x:v>
      </x:c>
      <x:c r="L60" s="57" t="n">
        <x:f>J60*'Hypothèses &amp; sources'!$F$4</x:f>
        <x:v>18.232</x:v>
      </x:c>
      <x:c r="M60" s="57" t="n">
        <x:f>J60*'Hypothèses &amp; sources'!$G$4</x:f>
        <x:v>18.92</x:v>
      </x:c>
      <x:c r="N60" s="57" t="n">
        <x:f>J60*'Hypothèses &amp; sources'!$H$4</x:f>
        <x:v>19.092000000000002</x:v>
      </x:c>
      <x:c r="O60" s="57" t="n">
        <x:f>J60*'Hypothèses &amp; sources'!$I$4</x:f>
        <x:v>21.328</x:v>
      </x:c>
      <x:c r="P60" s="57" t="str">
        <x:v>Super U</x:v>
      </x:c>
      <x:c r="Q60" s="57" t="n">
        <x:f>IF(P60="Lidl",K60,IF(P60="Super U",L60,IF(P60="Carrefour",M60,IF(P60="Auchan",N60,O60))))</x:f>
        <x:v>18.232</x:v>
      </x:c>
      <x:c r="R60" s="57" t="n">
        <x:f>Q60/'Hypothèses &amp; sources'!$B$4</x:f>
        <x:v>4.558</x:v>
      </x:c>
      <x:c r="S60" s="56" t="n">
        <x:f>MAX(0,'Hypothèses &amp; sources'!$B$5*MAX(0,MIN(100,'Hypothèses &amp; sources'!$B$10-R60*'Hypothèses &amp; sources'!$B$9))+'Hypothèses &amp; sources'!$B$6*(G60/5*100)+'Hypothèses &amp; sources'!$B$7*(H60/5*100)+'Hypothèses &amp; sources'!$B$8*MAX(0,MIN(100,'Hypothèses &amp; sources'!$B$12-E60*'Hypothèses &amp; sources'!$B$11))-T60)</x:f>
        <x:v>65.74768</x:v>
      </x:c>
      <x:c r="T60" s="33" t="n">
        <x:v>0</x:v>
      </x:c>
    </x:row>
    <x:row r="61">
      <x:c r="A61" s="33" t="n">
        <x:v>57</x:v>
      </x:c>
      <x:c r="B61" s="38" t="str">
        <x:v>Homard et mais à la vapeur</x:v>
      </x:c>
      <x:c r="C61" s="38" t="str">
        <x:v>Plat complet</x:v>
      </x:c>
      <x:c r="D61" s="38" t="str">
        <x:v>maïs, homard</x:v>
      </x:c>
      <x:c r="E61" s="33" t="n">
        <x:v>15</x:v>
      </x:c>
      <x:c r="F61" s="33" t="n">
        <x:v>35</x:v>
      </x:c>
      <x:c r="G61" s="56" t="n">
        <x:v>3.7</x:v>
      </x:c>
      <x:c r="H61" s="56" t="n">
        <x:v>3.6</x:v>
      </x:c>
      <x:c r="I61" s="33" t="n">
        <x:v>2</x:v>
      </x:c>
      <x:c r="J61" s="57" t="n">
        <x:v>32.4</x:v>
      </x:c>
      <x:c r="K61" s="57" t="n">
        <x:f>J61*'Hypothèses &amp; sources'!$E$4</x:f>
        <x:v>32.4</x:v>
      </x:c>
      <x:c r="L61" s="57" t="n">
        <x:f>J61*'Hypothèses &amp; sources'!$F$4</x:f>
        <x:v>34.344</x:v>
      </x:c>
      <x:c r="M61" s="57" t="n">
        <x:f>J61*'Hypothèses &amp; sources'!$G$4</x:f>
        <x:v>35.64</x:v>
      </x:c>
      <x:c r="N61" s="57" t="n">
        <x:f>J61*'Hypothèses &amp; sources'!$H$4</x:f>
        <x:v>35.964</x:v>
      </x:c>
      <x:c r="O61" s="57" t="n">
        <x:f>J61*'Hypothèses &amp; sources'!$I$4</x:f>
        <x:v>40.175999999999995</x:v>
      </x:c>
      <x:c r="P61" s="57" t="str">
        <x:v>Carrefour</x:v>
      </x:c>
      <x:c r="Q61" s="57" t="n">
        <x:f>IF(P61="Lidl",K61,IF(P61="Super U",L61,IF(P61="Carrefour",M61,IF(P61="Auchan",N61,O61))))</x:f>
        <x:v>35.64</x:v>
      </x:c>
      <x:c r="R61" s="57" t="n">
        <x:f>Q61/'Hypothèses &amp; sources'!$B$4</x:f>
        <x:v>8.91</x:v>
      </x:c>
      <x:c r="S61" s="56" t="n">
        <x:f>MAX(0,'Hypothèses &amp; sources'!$B$5*MAX(0,MIN(100,'Hypothèses &amp; sources'!$B$10-R61*'Hypothèses &amp; sources'!$B$9))+'Hypothèses &amp; sources'!$B$6*(G61/5*100)+'Hypothèses &amp; sources'!$B$7*(H61/5*100)+'Hypothèses &amp; sources'!$B$8*MAX(0,MIN(100,'Hypothèses &amp; sources'!$B$12-E61*'Hypothèses &amp; sources'!$B$11))-T61)</x:f>
        <x:v>44.2136</x:v>
      </x:c>
      <x:c r="T61" s="33" t="n">
        <x:v>0</x:v>
      </x:c>
    </x:row>
    <x:row r="62">
      <x:c r="A62" s="33" t="n">
        <x:v>58</x:v>
      </x:c>
      <x:c r="B62" s="38" t="str">
        <x:v>Soupe de mais mexicaine de rue</x:v>
      </x:c>
      <x:c r="C62" s="38" t="str">
        <x:v>Soupe / végétarien</x:v>
      </x:c>
      <x:c r="D62" s="38" t="str">
        <x:v>maïs, pommes de terre, bouillon, crème, fromage, citron vert</x:v>
      </x:c>
      <x:c r="E62" s="33" t="n">
        <x:v>15</x:v>
      </x:c>
      <x:c r="F62" s="33" t="n">
        <x:v>40</x:v>
      </x:c>
      <x:c r="G62" s="56" t="n">
        <x:v>4</x:v>
      </x:c>
      <x:c r="H62" s="56" t="n">
        <x:v>3.5</x:v>
      </x:c>
      <x:c r="I62" s="33" t="n">
        <x:v>1</x:v>
      </x:c>
      <x:c r="J62" s="57" t="n">
        <x:v>7</x:v>
      </x:c>
      <x:c r="K62" s="57" t="n">
        <x:f>J62*'Hypothèses &amp; sources'!$E$4</x:f>
        <x:v>7</x:v>
      </x:c>
      <x:c r="L62" s="57" t="n">
        <x:f>J62*'Hypothèses &amp; sources'!$F$4</x:f>
        <x:v>7.42</x:v>
      </x:c>
      <x:c r="M62" s="57" t="n">
        <x:f>J62*'Hypothèses &amp; sources'!$G$4</x:f>
        <x:v>7.700000000000001</x:v>
      </x:c>
      <x:c r="N62" s="57" t="n">
        <x:f>J62*'Hypothèses &amp; sources'!$H$4</x:f>
        <x:v>7.7700000000000005</x:v>
      </x:c>
      <x:c r="O62" s="57" t="n">
        <x:f>J62*'Hypothèses &amp; sources'!$I$4</x:f>
        <x:v>8.68</x:v>
      </x:c>
      <x:c r="P62" s="57" t="str">
        <x:v>Super U</x:v>
      </x:c>
      <x:c r="Q62" s="57" t="n">
        <x:f>IF(P62="Lidl",K62,IF(P62="Super U",L62,IF(P62="Carrefour",M62,IF(P62="Auchan",N62,O62))))</x:f>
        <x:v>7.42</x:v>
      </x:c>
      <x:c r="R62" s="57" t="n">
        <x:f>Q62/'Hypothèses &amp; sources'!$B$4</x:f>
        <x:v>1.855</x:v>
      </x:c>
      <x:c r="S62" s="56" t="n">
        <x:f>MAX(0,'Hypothèses &amp; sources'!$B$5*MAX(0,MIN(100,'Hypothèses &amp; sources'!$B$10-R62*'Hypothèses &amp; sources'!$B$9))+'Hypothèses &amp; sources'!$B$6*(G62/5*100)+'Hypothèses &amp; sources'!$B$7*(H62/5*100)+'Hypothèses &amp; sources'!$B$8*MAX(0,MIN(100,'Hypothèses &amp; sources'!$B$12-E62*'Hypothèses &amp; sources'!$B$11))-T62)</x:f>
        <x:v>81.09079999999999</x:v>
      </x:c>
      <x:c r="T62" s="33" t="n">
        <x:v>0</x:v>
      </x:c>
    </x:row>
    <x:row r="63">
      <x:c r="A63" s="33" t="n">
        <x:v>59</x:v>
      </x:c>
      <x:c r="B63" s="38" t="str">
        <x:v>Stock de poisson</x:v>
      </x:c>
      <x:c r="C63" s="38" t="str">
        <x:v>Base / bouillon</x:v>
      </x:c>
      <x:c r="D63" s="38" t="str">
        <x:v>arêtes de poisson, oignon, carotte, céleri, herbes</x:v>
      </x:c>
      <x:c r="E63" s="33" t="n">
        <x:v>15</x:v>
      </x:c>
      <x:c r="F63" s="33" t="n">
        <x:v>45</x:v>
      </x:c>
      <x:c r="G63" s="56" t="n">
        <x:v>1</x:v>
      </x:c>
      <x:c r="H63" s="56" t="n">
        <x:v>3</x:v>
      </x:c>
      <x:c r="I63" s="33" t="n">
        <x:v>1</x:v>
      </x:c>
      <x:c r="J63" s="57" t="n">
        <x:v>4</x:v>
      </x:c>
      <x:c r="K63" s="57" t="n">
        <x:f>J63*'Hypothèses &amp; sources'!$E$4</x:f>
        <x:v>4</x:v>
      </x:c>
      <x:c r="L63" s="57" t="n">
        <x:f>J63*'Hypothèses &amp; sources'!$F$4</x:f>
        <x:v>4.24</x:v>
      </x:c>
      <x:c r="M63" s="57" t="n">
        <x:f>J63*'Hypothèses &amp; sources'!$G$4</x:f>
        <x:v>4.4</x:v>
      </x:c>
      <x:c r="N63" s="57" t="n">
        <x:f>J63*'Hypothèses &amp; sources'!$H$4</x:f>
        <x:v>4.44</x:v>
      </x:c>
      <x:c r="O63" s="57" t="n">
        <x:f>J63*'Hypothèses &amp; sources'!$I$4</x:f>
        <x:v>4.96</x:v>
      </x:c>
      <x:c r="P63" s="57" t="str">
        <x:v>Super U</x:v>
      </x:c>
      <x:c r="Q63" s="57" t="n">
        <x:f>IF(P63="Lidl",K63,IF(P63="Super U",L63,IF(P63="Carrefour",M63,IF(P63="Auchan",N63,O63))))</x:f>
        <x:v>4.24</x:v>
      </x:c>
      <x:c r="R63" s="57" t="n">
        <x:f>Q63/'Hypothèses &amp; sources'!$B$4</x:f>
        <x:v>1.06</x:v>
      </x:c>
      <x:c r="S63" s="56" t="n">
        <x:f>MAX(0,'Hypothèses &amp; sources'!$B$5*MAX(0,MIN(100,'Hypothèses &amp; sources'!$B$10-R63*'Hypothèses &amp; sources'!$B$9))+'Hypothèses &amp; sources'!$B$6*(G63/5*100)+'Hypothèses &amp; sources'!$B$7*(H63/5*100)+'Hypothèses &amp; sources'!$B$8*MAX(0,MIN(100,'Hypothèses &amp; sources'!$B$12-E63*'Hypothèses &amp; sources'!$B$11))-T63)</x:f>
        <x:v>48.49759999999999</x:v>
      </x:c>
      <x:c r="T63" s="33" t="n">
        <x:v>18</x:v>
      </x:c>
    </x:row>
    <x:row r="64">
      <x:c r="A64" s="33" t="n">
        <x:v>60</x:v>
      </x:c>
      <x:c r="B64" s="38" t="str">
        <x:v>Haricots ivres</x:v>
      </x:c>
      <x:c r="C64" s="38" t="str">
        <x:v>Légumineuses</x:v>
      </x:c>
      <x:c r="D64" s="38" t="str">
        <x:v>haricots, bière, bacon, oignon, tomate, épices</x:v>
      </x:c>
      <x:c r="E64" s="33" t="n">
        <x:v>15</x:v>
      </x:c>
      <x:c r="F64" s="33" t="n">
        <x:v>45</x:v>
      </x:c>
      <x:c r="G64" s="56" t="n">
        <x:v>4.5</x:v>
      </x:c>
      <x:c r="H64" s="56" t="n">
        <x:v>3.5</x:v>
      </x:c>
      <x:c r="I64" s="33" t="n">
        <x:v>0</x:v>
      </x:c>
      <x:c r="J64" s="57" t="n">
        <x:v>7</x:v>
      </x:c>
      <x:c r="K64" s="57" t="n">
        <x:f>J64*'Hypothèses &amp; sources'!$E$4</x:f>
        <x:v>7</x:v>
      </x:c>
      <x:c r="L64" s="57" t="n">
        <x:f>J64*'Hypothèses &amp; sources'!$F$4</x:f>
        <x:v>7.42</x:v>
      </x:c>
      <x:c r="M64" s="57" t="n">
        <x:f>J64*'Hypothèses &amp; sources'!$G$4</x:f>
        <x:v>7.700000000000001</x:v>
      </x:c>
      <x:c r="N64" s="57" t="n">
        <x:f>J64*'Hypothèses &amp; sources'!$H$4</x:f>
        <x:v>7.7700000000000005</x:v>
      </x:c>
      <x:c r="O64" s="57" t="n">
        <x:f>J64*'Hypothèses &amp; sources'!$I$4</x:f>
        <x:v>8.68</x:v>
      </x:c>
      <x:c r="P64" s="57" t="str">
        <x:v>Lidl</x:v>
      </x:c>
      <x:c r="Q64" s="57" t="n">
        <x:f>IF(P64="Lidl",K64,IF(P64="Super U",L64,IF(P64="Carrefour",M64,IF(P64="Auchan",N64,O64))))</x:f>
        <x:v>7</x:v>
      </x:c>
      <x:c r="R64" s="57" t="n">
        <x:f>Q64/'Hypothèses &amp; sources'!$B$4</x:f>
        <x:v>1.75</x:v>
      </x:c>
      <x:c r="S64" s="56" t="n">
        <x:f>MAX(0,'Hypothèses &amp; sources'!$B$5*MAX(0,MIN(100,'Hypothèses &amp; sources'!$B$10-R64*'Hypothèses &amp; sources'!$B$9))+'Hypothèses &amp; sources'!$B$6*(G64/5*100)+'Hypothèses &amp; sources'!$B$7*(H64/5*100)+'Hypothèses &amp; sources'!$B$8*MAX(0,MIN(100,'Hypothèses &amp; sources'!$B$12-E64*'Hypothèses &amp; sources'!$B$11))-T64)</x:f>
        <x:v>84.41999999999999</x:v>
      </x:c>
      <x:c r="T64" s="33" t="n">
        <x:v>0</x:v>
      </x:c>
    </x:row>
    <x:row r="65">
      <x:c r="A65" s="33" t="n">
        <x:v>61</x:v>
      </x:c>
      <x:c r="B65" s="38" t="str">
        <x:v>Pierogi casserole</x:v>
      </x:c>
      <x:c r="C65" s="38" t="str">
        <x:v>Gratin / farci</x:v>
      </x:c>
      <x:c r="D65" s="38" t="str">
        <x:v>pierogi, oignon, crème, fromage, bacon</x:v>
      </x:c>
      <x:c r="E65" s="33" t="n">
        <x:v>15</x:v>
      </x:c>
      <x:c r="F65" s="33" t="n">
        <x:v>45</x:v>
      </x:c>
      <x:c r="G65" s="56" t="n">
        <x:v>4.4</x:v>
      </x:c>
      <x:c r="H65" s="56" t="n">
        <x:v>2.7</x:v>
      </x:c>
      <x:c r="I65" s="33" t="n">
        <x:v>1</x:v>
      </x:c>
      <x:c r="J65" s="57" t="n">
        <x:v>9</x:v>
      </x:c>
      <x:c r="K65" s="57" t="n">
        <x:f>J65*'Hypothèses &amp; sources'!$E$4</x:f>
        <x:v>9</x:v>
      </x:c>
      <x:c r="L65" s="57" t="n">
        <x:f>J65*'Hypothèses &amp; sources'!$F$4</x:f>
        <x:v>9.540000000000001</x:v>
      </x:c>
      <x:c r="M65" s="57" t="n">
        <x:f>J65*'Hypothèses &amp; sources'!$G$4</x:f>
        <x:v>9.9</x:v>
      </x:c>
      <x:c r="N65" s="57" t="n">
        <x:f>J65*'Hypothèses &amp; sources'!$H$4</x:f>
        <x:v>9.99</x:v>
      </x:c>
      <x:c r="O65" s="57" t="n">
        <x:f>J65*'Hypothèses &amp; sources'!$I$4</x:f>
        <x:v>11.16</x:v>
      </x:c>
      <x:c r="P65" s="57" t="str">
        <x:v>Super U</x:v>
      </x:c>
      <x:c r="Q65" s="57" t="n">
        <x:f>IF(P65="Lidl",K65,IF(P65="Super U",L65,IF(P65="Carrefour",M65,IF(P65="Auchan",N65,O65))))</x:f>
        <x:v>9.540000000000001</x:v>
      </x:c>
      <x:c r="R65" s="57" t="n">
        <x:f>Q65/'Hypothèses &amp; sources'!$B$4</x:f>
        <x:v>2.3850000000000002</x:v>
      </x:c>
      <x:c r="S65" s="56" t="n">
        <x:f>MAX(0,'Hypothèses &amp; sources'!$B$5*MAX(0,MIN(100,'Hypothèses &amp; sources'!$B$10-R65*'Hypothèses &amp; sources'!$B$9))+'Hypothèses &amp; sources'!$B$6*(G65/5*100)+'Hypothèses &amp; sources'!$B$7*(H65/5*100)+'Hypothèses &amp; sources'!$B$8*MAX(0,MIN(100,'Hypothèses &amp; sources'!$B$12-E65*'Hypothèses &amp; sources'!$B$11))-T65)</x:f>
        <x:v>77.7796</x:v>
      </x:c>
      <x:c r="T65" s="33" t="n">
        <x:v>0</x:v>
      </x:c>
    </x:row>
    <x:row r="66">
      <x:c r="A66" s="33" t="n">
        <x:v>62</x:v>
      </x:c>
      <x:c r="B66" s="38" t="str">
        <x:v>Quiche sans croute pour l amateurs de viande</x:v>
      </x:c>
      <x:c r="C66" s="38" t="str">
        <x:v>Quiche / œufs</x:v>
      </x:c>
      <x:c r="D66" s="38" t="str">
        <x:v>œufs, bacon, saucisse, jambon, fromage, crème</x:v>
      </x:c>
      <x:c r="E66" s="33" t="n">
        <x:v>15</x:v>
      </x:c>
      <x:c r="F66" s="33" t="n">
        <x:v>45</x:v>
      </x:c>
      <x:c r="G66" s="56" t="n">
        <x:v>4.5</x:v>
      </x:c>
      <x:c r="H66" s="56" t="n">
        <x:v>2.8</x:v>
      </x:c>
      <x:c r="I66" s="33" t="n">
        <x:v>0</x:v>
      </x:c>
      <x:c r="J66" s="57" t="n">
        <x:v>11.8</x:v>
      </x:c>
      <x:c r="K66" s="57" t="n">
        <x:f>J66*'Hypothèses &amp; sources'!$E$4</x:f>
        <x:v>11.8</x:v>
      </x:c>
      <x:c r="L66" s="57" t="n">
        <x:f>J66*'Hypothèses &amp; sources'!$F$4</x:f>
        <x:v>12.508000000000001</x:v>
      </x:c>
      <x:c r="M66" s="57" t="n">
        <x:f>J66*'Hypothèses &amp; sources'!$G$4</x:f>
        <x:v>12.980000000000002</x:v>
      </x:c>
      <x:c r="N66" s="57" t="n">
        <x:f>J66*'Hypothèses &amp; sources'!$H$4</x:f>
        <x:v>13.098000000000003</x:v>
      </x:c>
      <x:c r="O66" s="57" t="n">
        <x:f>J66*'Hypothèses &amp; sources'!$I$4</x:f>
        <x:v>14.632000000000001</x:v>
      </x:c>
      <x:c r="P66" s="57" t="str">
        <x:v>Lidl</x:v>
      </x:c>
      <x:c r="Q66" s="57" t="n">
        <x:f>IF(P66="Lidl",K66,IF(P66="Super U",L66,IF(P66="Carrefour",M66,IF(P66="Auchan",N66,O66))))</x:f>
        <x:v>11.8</x:v>
      </x:c>
      <x:c r="R66" s="57" t="n">
        <x:f>Q66/'Hypothèses &amp; sources'!$B$4</x:f>
        <x:v>2.95</x:v>
      </x:c>
      <x:c r="S66" s="56" t="n">
        <x:f>MAX(0,'Hypothèses &amp; sources'!$B$5*MAX(0,MIN(100,'Hypothèses &amp; sources'!$B$10-R66*'Hypothèses &amp; sources'!$B$9))+'Hypothèses &amp; sources'!$B$6*(G66/5*100)+'Hypothèses &amp; sources'!$B$7*(H66/5*100)+'Hypothèses &amp; sources'!$B$8*MAX(0,MIN(100,'Hypothèses &amp; sources'!$B$12-E66*'Hypothèses &amp; sources'!$B$11))-T66)</x:f>
        <x:v>75.85199999999999</x:v>
      </x:c>
      <x:c r="T66" s="33" t="n">
        <x:v>0</x:v>
      </x:c>
    </x:row>
    <x:row r="67">
      <x:c r="A67" s="33" t="n">
        <x:v>63</x:v>
      </x:c>
      <x:c r="B67" s="38" t="str">
        <x:v>Baby back ribs</x:v>
      </x:c>
      <x:c r="C67" s="38" t="str">
        <x:v>Plat complet</x:v>
      </x:c>
      <x:c r="D67" s="38" t="str">
        <x:v>travers de porc, sauce barbecue, ail, paprika, épices</x:v>
      </x:c>
      <x:c r="E67" s="33" t="n">
        <x:v>15</x:v>
      </x:c>
      <x:c r="F67" s="33" t="n">
        <x:v>90</x:v>
      </x:c>
      <x:c r="G67" s="56" t="n">
        <x:v>4.3</x:v>
      </x:c>
      <x:c r="H67" s="56" t="n">
        <x:v>2.8</x:v>
      </x:c>
      <x:c r="I67" s="33" t="n">
        <x:v>0</x:v>
      </x:c>
      <x:c r="J67" s="57" t="n">
        <x:v>13</x:v>
      </x:c>
      <x:c r="K67" s="57" t="n">
        <x:f>J67*'Hypothèses &amp; sources'!$E$4</x:f>
        <x:v>13</x:v>
      </x:c>
      <x:c r="L67" s="57" t="n">
        <x:f>J67*'Hypothèses &amp; sources'!$F$4</x:f>
        <x:v>13.780000000000001</x:v>
      </x:c>
      <x:c r="M67" s="57" t="n">
        <x:f>J67*'Hypothèses &amp; sources'!$G$4</x:f>
        <x:v>14.3</x:v>
      </x:c>
      <x:c r="N67" s="57" t="n">
        <x:f>J67*'Hypothèses &amp; sources'!$H$4</x:f>
        <x:v>14.430000000000001</x:v>
      </x:c>
      <x:c r="O67" s="57" t="n">
        <x:f>J67*'Hypothèses &amp; sources'!$I$4</x:f>
        <x:v>16.12</x:v>
      </x:c>
      <x:c r="P67" s="57" t="str">
        <x:v>Lidl</x:v>
      </x:c>
      <x:c r="Q67" s="57" t="n">
        <x:f>IF(P67="Lidl",K67,IF(P67="Super U",L67,IF(P67="Carrefour",M67,IF(P67="Auchan",N67,O67))))</x:f>
        <x:v>13</x:v>
      </x:c>
      <x:c r="R67" s="57" t="n">
        <x:f>Q67/'Hypothèses &amp; sources'!$B$4</x:f>
        <x:v>3.25</x:v>
      </x:c>
      <x:c r="S67" s="56" t="n">
        <x:f>MAX(0,'Hypothèses &amp; sources'!$B$5*MAX(0,MIN(100,'Hypothèses &amp; sources'!$B$10-R67*'Hypothèses &amp; sources'!$B$9))+'Hypothèses &amp; sources'!$B$6*(G67/5*100)+'Hypothèses &amp; sources'!$B$7*(H67/5*100)+'Hypothèses &amp; sources'!$B$8*MAX(0,MIN(100,'Hypothèses &amp; sources'!$B$12-E67*'Hypothèses &amp; sources'!$B$11))-T67)</x:f>
        <x:v>73.22</x:v>
      </x:c>
      <x:c r="T67" s="33" t="n">
        <x:v>0</x:v>
      </x:c>
    </x:row>
    <x:row r="68">
      <x:c r="A68" s="33" t="n">
        <x:v>64</x:v>
      </x:c>
      <x:c r="B68" s="38" t="str">
        <x:v>Beef bone broth</x:v>
      </x:c>
      <x:c r="C68" s="38" t="str">
        <x:v>Base / bouillon</x:v>
      </x:c>
      <x:c r="D68" s="38" t="str">
        <x:v>os de bœuf, oignon, carotte, céleri, herbes</x:v>
      </x:c>
      <x:c r="E68" s="33" t="n">
        <x:v>15</x:v>
      </x:c>
      <x:c r="F68" s="33" t="n">
        <x:v>180</x:v>
      </x:c>
      <x:c r="G68" s="56" t="n">
        <x:v>1.5</x:v>
      </x:c>
      <x:c r="H68" s="56" t="n">
        <x:v>3.5</x:v>
      </x:c>
      <x:c r="I68" s="33" t="n">
        <x:v>1</x:v>
      </x:c>
      <x:c r="J68" s="57" t="n">
        <x:v>6.5</x:v>
      </x:c>
      <x:c r="K68" s="57" t="n">
        <x:f>J68*'Hypothèses &amp; sources'!$E$4</x:f>
        <x:v>6.5</x:v>
      </x:c>
      <x:c r="L68" s="57" t="n">
        <x:f>J68*'Hypothèses &amp; sources'!$F$4</x:f>
        <x:v>6.890000000000001</x:v>
      </x:c>
      <x:c r="M68" s="57" t="n">
        <x:f>J68*'Hypothèses &amp; sources'!$G$4</x:f>
        <x:v>7.15</x:v>
      </x:c>
      <x:c r="N68" s="57" t="n">
        <x:f>J68*'Hypothèses &amp; sources'!$H$4</x:f>
        <x:v>7.215000000000001</x:v>
      </x:c>
      <x:c r="O68" s="57" t="n">
        <x:f>J68*'Hypothèses &amp; sources'!$I$4</x:f>
        <x:v>8.06</x:v>
      </x:c>
      <x:c r="P68" s="57" t="str">
        <x:v>Super U</x:v>
      </x:c>
      <x:c r="Q68" s="57" t="n">
        <x:f>IF(P68="Lidl",K68,IF(P68="Super U",L68,IF(P68="Carrefour",M68,IF(P68="Auchan",N68,O68))))</x:f>
        <x:v>6.890000000000001</x:v>
      </x:c>
      <x:c r="R68" s="57" t="n">
        <x:f>Q68/'Hypothèses &amp; sources'!$B$4</x:f>
        <x:v>1.7225000000000001</x:v>
      </x:c>
      <x:c r="S68" s="56" t="n">
        <x:f>MAX(0,'Hypothèses &amp; sources'!$B$5*MAX(0,MIN(100,'Hypothèses &amp; sources'!$B$10-R68*'Hypothèses &amp; sources'!$B$9))+'Hypothèses &amp; sources'!$B$6*(G68/5*100)+'Hypothèses &amp; sources'!$B$7*(H68/5*100)+'Hypothèses &amp; sources'!$B$8*MAX(0,MIN(100,'Hypothèses &amp; sources'!$B$12-E68*'Hypothèses &amp; sources'!$B$11))-T68)</x:f>
        <x:v>49.7586</x:v>
      </x:c>
      <x:c r="T68" s="33" t="n">
        <x:v>18</x:v>
      </x:c>
    </x:row>
    <x:row r="69">
      <x:c r="A69" s="33" t="n">
        <x:v>65</x:v>
      </x:c>
      <x:c r="B69" s="38" t="str">
        <x:v>Minted moroccan chicken wraps</x:v>
      </x:c>
      <x:c r="C69" s="38" t="str">
        <x:v>Tacos / sandwich</x:v>
      </x:c>
      <x:c r="D69" s="38" t="str">
        <x:v>tortillas ou pain, crudités, sauce, poulet</x:v>
      </x:c>
      <x:c r="E69" s="33" t="n">
        <x:v>20</x:v>
      </x:c>
      <x:c r="F69" s="33" t="n">
        <x:v>30</x:v>
      </x:c>
      <x:c r="G69" s="56" t="n">
        <x:v>3.9</x:v>
      </x:c>
      <x:c r="H69" s="56" t="n">
        <x:v>3.5</x:v>
      </x:c>
      <x:c r="I69" s="33" t="n">
        <x:v>0</x:v>
      </x:c>
      <x:c r="J69" s="57" t="n">
        <x:v>9.7</x:v>
      </x:c>
      <x:c r="K69" s="57" t="n">
        <x:f>J69*'Hypothèses &amp; sources'!$E$4</x:f>
        <x:v>9.7</x:v>
      </x:c>
      <x:c r="L69" s="57" t="n">
        <x:f>J69*'Hypothèses &amp; sources'!$F$4</x:f>
        <x:v>10.282</x:v>
      </x:c>
      <x:c r="M69" s="57" t="n">
        <x:f>J69*'Hypothèses &amp; sources'!$G$4</x:f>
        <x:v>10.67</x:v>
      </x:c>
      <x:c r="N69" s="57" t="n">
        <x:f>J69*'Hypothèses &amp; sources'!$H$4</x:f>
        <x:v>10.767</x:v>
      </x:c>
      <x:c r="O69" s="57" t="n">
        <x:f>J69*'Hypothèses &amp; sources'!$I$4</x:f>
        <x:v>12.027999999999999</x:v>
      </x:c>
      <x:c r="P69" s="57" t="str">
        <x:v>Lidl</x:v>
      </x:c>
      <x:c r="Q69" s="57" t="n">
        <x:f>IF(P69="Lidl",K69,IF(P69="Super U",L69,IF(P69="Carrefour",M69,IF(P69="Auchan",N69,O69))))</x:f>
        <x:v>9.7</x:v>
      </x:c>
      <x:c r="R69" s="57" t="n">
        <x:f>Q69/'Hypothèses &amp; sources'!$B$4</x:f>
        <x:v>2.425</x:v>
      </x:c>
      <x:c r="S69" s="56" t="n">
        <x:f>MAX(0,'Hypothèses &amp; sources'!$B$5*MAX(0,MIN(100,'Hypothèses &amp; sources'!$B$10-R69*'Hypothèses &amp; sources'!$B$9))+'Hypothèses &amp; sources'!$B$6*(G69/5*100)+'Hypothèses &amp; sources'!$B$7*(H69/5*100)+'Hypothèses &amp; sources'!$B$8*MAX(0,MIN(100,'Hypothèses &amp; sources'!$B$12-E69*'Hypothèses &amp; sources'!$B$11))-T69)</x:f>
        <x:v>76.33800000000001</x:v>
      </x:c>
      <x:c r="T69" s="33" t="n">
        <x:v>0</x:v>
      </x:c>
    </x:row>
    <x:row r="70">
      <x:c r="A70" s="33" t="n">
        <x:v>66</x:v>
      </x:c>
      <x:c r="B70" s="38" t="str">
        <x:v>Sandwich au poulet party club</x:v>
      </x:c>
      <x:c r="C70" s="38" t="str">
        <x:v>Tacos / sandwich</x:v>
      </x:c>
      <x:c r="D70" s="38" t="str">
        <x:v>tortillas ou pain, crudités, sauce, poulet</x:v>
      </x:c>
      <x:c r="E70" s="33" t="n">
        <x:v>20</x:v>
      </x:c>
      <x:c r="F70" s="33" t="n">
        <x:v>30</x:v>
      </x:c>
      <x:c r="G70" s="56" t="n">
        <x:v>3.9</x:v>
      </x:c>
      <x:c r="H70" s="56" t="n">
        <x:v>3.5</x:v>
      </x:c>
      <x:c r="I70" s="33" t="n">
        <x:v>0</x:v>
      </x:c>
      <x:c r="J70" s="57" t="n">
        <x:v>9.7</x:v>
      </x:c>
      <x:c r="K70" s="57" t="n">
        <x:f>J70*'Hypothèses &amp; sources'!$E$4</x:f>
        <x:v>9.7</x:v>
      </x:c>
      <x:c r="L70" s="57" t="n">
        <x:f>J70*'Hypothèses &amp; sources'!$F$4</x:f>
        <x:v>10.282</x:v>
      </x:c>
      <x:c r="M70" s="57" t="n">
        <x:f>J70*'Hypothèses &amp; sources'!$G$4</x:f>
        <x:v>10.67</x:v>
      </x:c>
      <x:c r="N70" s="57" t="n">
        <x:f>J70*'Hypothèses &amp; sources'!$H$4</x:f>
        <x:v>10.767</x:v>
      </x:c>
      <x:c r="O70" s="57" t="n">
        <x:f>J70*'Hypothèses &amp; sources'!$I$4</x:f>
        <x:v>12.027999999999999</x:v>
      </x:c>
      <x:c r="P70" s="57" t="str">
        <x:v>Lidl</x:v>
      </x:c>
      <x:c r="Q70" s="57" t="n">
        <x:f>IF(P70="Lidl",K70,IF(P70="Super U",L70,IF(P70="Carrefour",M70,IF(P70="Auchan",N70,O70))))</x:f>
        <x:v>9.7</x:v>
      </x:c>
      <x:c r="R70" s="57" t="n">
        <x:f>Q70/'Hypothèses &amp; sources'!$B$4</x:f>
        <x:v>2.425</x:v>
      </x:c>
      <x:c r="S70" s="56" t="n">
        <x:f>MAX(0,'Hypothèses &amp; sources'!$B$5*MAX(0,MIN(100,'Hypothèses &amp; sources'!$B$10-R70*'Hypothèses &amp; sources'!$B$9))+'Hypothèses &amp; sources'!$B$6*(G70/5*100)+'Hypothèses &amp; sources'!$B$7*(H70/5*100)+'Hypothèses &amp; sources'!$B$8*MAX(0,MIN(100,'Hypothèses &amp; sources'!$B$12-E70*'Hypothèses &amp; sources'!$B$11))-T70)</x:f>
        <x:v>76.33800000000001</x:v>
      </x:c>
      <x:c r="T70" s="33" t="n">
        <x:v>0</x:v>
      </x:c>
    </x:row>
    <x:row r="71">
      <x:c r="A71" s="33" t="n">
        <x:v>67</x:v>
      </x:c>
      <x:c r="B71" s="38" t="str">
        <x:v>Tacos au poulet effiloché</x:v>
      </x:c>
      <x:c r="C71" s="38" t="str">
        <x:v>Tacos / sandwich</x:v>
      </x:c>
      <x:c r="D71" s="38" t="str">
        <x:v>tortillas ou pain, crudités, sauce, poulet</x:v>
      </x:c>
      <x:c r="E71" s="33" t="n">
        <x:v>20</x:v>
      </x:c>
      <x:c r="F71" s="33" t="n">
        <x:v>30</x:v>
      </x:c>
      <x:c r="G71" s="56" t="n">
        <x:v>3.9</x:v>
      </x:c>
      <x:c r="H71" s="56" t="n">
        <x:v>3.5</x:v>
      </x:c>
      <x:c r="I71" s="33" t="n">
        <x:v>0</x:v>
      </x:c>
      <x:c r="J71" s="57" t="n">
        <x:v>9.7</x:v>
      </x:c>
      <x:c r="K71" s="57" t="n">
        <x:f>J71*'Hypothèses &amp; sources'!$E$4</x:f>
        <x:v>9.7</x:v>
      </x:c>
      <x:c r="L71" s="57" t="n">
        <x:f>J71*'Hypothèses &amp; sources'!$F$4</x:f>
        <x:v>10.282</x:v>
      </x:c>
      <x:c r="M71" s="57" t="n">
        <x:f>J71*'Hypothèses &amp; sources'!$G$4</x:f>
        <x:v>10.67</x:v>
      </x:c>
      <x:c r="N71" s="57" t="n">
        <x:f>J71*'Hypothèses &amp; sources'!$H$4</x:f>
        <x:v>10.767</x:v>
      </x:c>
      <x:c r="O71" s="57" t="n">
        <x:f>J71*'Hypothèses &amp; sources'!$I$4</x:f>
        <x:v>12.027999999999999</x:v>
      </x:c>
      <x:c r="P71" s="57" t="str">
        <x:v>Lidl</x:v>
      </x:c>
      <x:c r="Q71" s="57" t="n">
        <x:f>IF(P71="Lidl",K71,IF(P71="Super U",L71,IF(P71="Carrefour",M71,IF(P71="Auchan",N71,O71))))</x:f>
        <x:v>9.7</x:v>
      </x:c>
      <x:c r="R71" s="57" t="n">
        <x:f>Q71/'Hypothèses &amp; sources'!$B$4</x:f>
        <x:v>2.425</x:v>
      </x:c>
      <x:c r="S71" s="56" t="n">
        <x:f>MAX(0,'Hypothèses &amp; sources'!$B$5*MAX(0,MIN(100,'Hypothèses &amp; sources'!$B$10-R71*'Hypothèses &amp; sources'!$B$9))+'Hypothèses &amp; sources'!$B$6*(G71/5*100)+'Hypothèses &amp; sources'!$B$7*(H71/5*100)+'Hypothèses &amp; sources'!$B$8*MAX(0,MIN(100,'Hypothèses &amp; sources'!$B$12-E71*'Hypothèses &amp; sources'!$B$11))-T71)</x:f>
        <x:v>76.33800000000001</x:v>
      </x:c>
      <x:c r="T71" s="33" t="n">
        <x:v>0</x:v>
      </x:c>
    </x:row>
    <x:row r="72">
      <x:c r="A72" s="33" t="n">
        <x:v>68</x:v>
      </x:c>
      <x:c r="B72" s="38" t="str">
        <x:v>Fajitas au poulet</x:v>
      </x:c>
      <x:c r="C72" s="38" t="str">
        <x:v>Tacos / poulet</x:v>
      </x:c>
      <x:c r="D72" s="38" t="str">
        <x:v>poulet, poivrons, oignon, tortillas, citron vert, épices</x:v>
      </x:c>
      <x:c r="E72" s="33" t="n">
        <x:v>20</x:v>
      </x:c>
      <x:c r="F72" s="33" t="n">
        <x:v>30</x:v>
      </x:c>
      <x:c r="G72" s="56" t="n">
        <x:v>4.5</x:v>
      </x:c>
      <x:c r="H72" s="56" t="n">
        <x:v>4.2</x:v>
      </x:c>
      <x:c r="I72" s="33" t="n">
        <x:v>0</x:v>
      </x:c>
      <x:c r="J72" s="57" t="n">
        <x:v>10</x:v>
      </x:c>
      <x:c r="K72" s="57" t="n">
        <x:f>J72*'Hypothèses &amp; sources'!$E$4</x:f>
        <x:v>10</x:v>
      </x:c>
      <x:c r="L72" s="57" t="n">
        <x:f>J72*'Hypothèses &amp; sources'!$F$4</x:f>
        <x:v>10.600000000000001</x:v>
      </x:c>
      <x:c r="M72" s="57" t="n">
        <x:f>J72*'Hypothèses &amp; sources'!$G$4</x:f>
        <x:v>11</x:v>
      </x:c>
      <x:c r="N72" s="57" t="n">
        <x:f>J72*'Hypothèses &amp; sources'!$H$4</x:f>
        <x:v>11.100000000000001</x:v>
      </x:c>
      <x:c r="O72" s="57" t="n">
        <x:f>J72*'Hypothèses &amp; sources'!$I$4</x:f>
        <x:v>12.4</x:v>
      </x:c>
      <x:c r="P72" s="57" t="str">
        <x:v>Lidl</x:v>
      </x:c>
      <x:c r="Q72" s="57" t="n">
        <x:f>IF(P72="Lidl",K72,IF(P72="Super U",L72,IF(P72="Carrefour",M72,IF(P72="Auchan",N72,O72))))</x:f>
        <x:v>10</x:v>
      </x:c>
      <x:c r="R72" s="57" t="n">
        <x:f>Q72/'Hypothèses &amp; sources'!$B$4</x:f>
        <x:v>2.5</x:v>
      </x:c>
      <x:c r="S72" s="56" t="n">
        <x:f>MAX(0,'Hypothèses &amp; sources'!$B$5*MAX(0,MIN(100,'Hypothèses &amp; sources'!$B$10-R72*'Hypothèses &amp; sources'!$B$9))+'Hypothèses &amp; sources'!$B$6*(G72/5*100)+'Hypothèses &amp; sources'!$B$7*(H72/5*100)+'Hypothèses &amp; sources'!$B$8*MAX(0,MIN(100,'Hypothèses &amp; sources'!$B$12-E72*'Hypothèses &amp; sources'!$B$11))-T72)</x:f>
        <x:v>81.84</x:v>
      </x:c>
      <x:c r="T72" s="33" t="n">
        <x:v>0</x:v>
      </x:c>
    </x:row>
    <x:row r="73">
      <x:c r="A73" s="33" t="n">
        <x:v>69</x:v>
      </x:c>
      <x:c r="B73" s="38" t="str">
        <x:v>Taco ground beef chili</x:v>
      </x:c>
      <x:c r="C73" s="38" t="str">
        <x:v>Tacos / sandwich</x:v>
      </x:c>
      <x:c r="D73" s="38" t="str">
        <x:v>piment / chili, tortillas ou pain, crudités, sauce, bœuf haché</x:v>
      </x:c>
      <x:c r="E73" s="33" t="n">
        <x:v>20</x:v>
      </x:c>
      <x:c r="F73" s="33" t="n">
        <x:v>30</x:v>
      </x:c>
      <x:c r="G73" s="56" t="n">
        <x:v>4</x:v>
      </x:c>
      <x:c r="H73" s="56" t="n">
        <x:v>3.1</x:v>
      </x:c>
      <x:c r="I73" s="33" t="n">
        <x:v>0</x:v>
      </x:c>
      <x:c r="J73" s="57" t="n">
        <x:v>13.4</x:v>
      </x:c>
      <x:c r="K73" s="57" t="n">
        <x:f>J73*'Hypothèses &amp; sources'!$E$4</x:f>
        <x:v>13.4</x:v>
      </x:c>
      <x:c r="L73" s="57" t="n">
        <x:f>J73*'Hypothèses &amp; sources'!$F$4</x:f>
        <x:v>14.204</x:v>
      </x:c>
      <x:c r="M73" s="57" t="n">
        <x:f>J73*'Hypothèses &amp; sources'!$G$4</x:f>
        <x:v>14.740000000000002</x:v>
      </x:c>
      <x:c r="N73" s="57" t="n">
        <x:f>J73*'Hypothèses &amp; sources'!$H$4</x:f>
        <x:v>14.874000000000002</x:v>
      </x:c>
      <x:c r="O73" s="57" t="n">
        <x:f>J73*'Hypothèses &amp; sources'!$I$4</x:f>
        <x:v>16.616</x:v>
      </x:c>
      <x:c r="P73" s="57" t="str">
        <x:v>Lidl</x:v>
      </x:c>
      <x:c r="Q73" s="57" t="n">
        <x:f>IF(P73="Lidl",K73,IF(P73="Super U",L73,IF(P73="Carrefour",M73,IF(P73="Auchan",N73,O73))))</x:f>
        <x:v>13.4</x:v>
      </x:c>
      <x:c r="R73" s="57" t="n">
        <x:f>Q73/'Hypothèses &amp; sources'!$B$4</x:f>
        <x:v>3.35</x:v>
      </x:c>
      <x:c r="S73" s="56" t="n">
        <x:f>MAX(0,'Hypothèses &amp; sources'!$B$5*MAX(0,MIN(100,'Hypothèses &amp; sources'!$B$10-R73*'Hypothèses &amp; sources'!$B$9))+'Hypothèses &amp; sources'!$B$6*(G73/5*100)+'Hypothèses &amp; sources'!$B$7*(H73/5*100)+'Hypothèses &amp; sources'!$B$8*MAX(0,MIN(100,'Hypothèses &amp; sources'!$B$12-E73*'Hypothèses &amp; sources'!$B$11))-T73)</x:f>
        <x:v>70.796</x:v>
      </x:c>
      <x:c r="T73" s="33" t="n">
        <x:v>0</x:v>
      </x:c>
    </x:row>
    <x:row r="74">
      <x:c r="A74" s="33" t="n">
        <x:v>70</x:v>
      </x:c>
      <x:c r="B74" s="38" t="str">
        <x:v>Tacos au boeuf effiloché</x:v>
      </x:c>
      <x:c r="C74" s="38" t="str">
        <x:v>Tacos / sandwich</x:v>
      </x:c>
      <x:c r="D74" s="38" t="str">
        <x:v>tortillas ou pain, crudités, sauce, bœuf à mijoter</x:v>
      </x:c>
      <x:c r="E74" s="33" t="n">
        <x:v>20</x:v>
      </x:c>
      <x:c r="F74" s="33" t="n">
        <x:v>30</x:v>
      </x:c>
      <x:c r="G74" s="56" t="n">
        <x:v>4</x:v>
      </x:c>
      <x:c r="H74" s="56" t="n">
        <x:v>3.1</x:v>
      </x:c>
      <x:c r="I74" s="33" t="n">
        <x:v>0</x:v>
      </x:c>
      <x:c r="J74" s="57" t="n">
        <x:v>14.8</x:v>
      </x:c>
      <x:c r="K74" s="57" t="n">
        <x:f>J74*'Hypothèses &amp; sources'!$E$4</x:f>
        <x:v>14.8</x:v>
      </x:c>
      <x:c r="L74" s="57" t="n">
        <x:f>J74*'Hypothèses &amp; sources'!$F$4</x:f>
        <x:v>15.688000000000002</x:v>
      </x:c>
      <x:c r="M74" s="57" t="n">
        <x:f>J74*'Hypothèses &amp; sources'!$G$4</x:f>
        <x:v>16.28</x:v>
      </x:c>
      <x:c r="N74" s="57" t="n">
        <x:f>J74*'Hypothèses &amp; sources'!$H$4</x:f>
        <x:v>16.428</x:v>
      </x:c>
      <x:c r="O74" s="57" t="n">
        <x:f>J74*'Hypothèses &amp; sources'!$I$4</x:f>
        <x:v>18.352</x:v>
      </x:c>
      <x:c r="P74" s="57" t="str">
        <x:v>Lidl</x:v>
      </x:c>
      <x:c r="Q74" s="57" t="n">
        <x:f>IF(P74="Lidl",K74,IF(P74="Super U",L74,IF(P74="Carrefour",M74,IF(P74="Auchan",N74,O74))))</x:f>
        <x:v>14.8</x:v>
      </x:c>
      <x:c r="R74" s="57" t="n">
        <x:f>Q74/'Hypothèses &amp; sources'!$B$4</x:f>
        <x:v>3.7</x:v>
      </x:c>
      <x:c r="S74" s="56" t="n">
        <x:f>MAX(0,'Hypothèses &amp; sources'!$B$5*MAX(0,MIN(100,'Hypothèses &amp; sources'!$B$10-R74*'Hypothèses &amp; sources'!$B$9))+'Hypothèses &amp; sources'!$B$6*(G74/5*100)+'Hypothèses &amp; sources'!$B$7*(H74/5*100)+'Hypothèses &amp; sources'!$B$8*MAX(0,MIN(100,'Hypothèses &amp; sources'!$B$12-E74*'Hypothèses &amp; sources'!$B$11))-T74)</x:f>
        <x:v>69.032</x:v>
      </x:c>
      <x:c r="T74" s="33" t="n">
        <x:v>0</x:v>
      </x:c>
    </x:row>
    <x:row r="75">
      <x:c r="A75" s="33" t="n">
        <x:v>71</x:v>
      </x:c>
      <x:c r="B75" s="38" t="str">
        <x:v>Oignon masala</x:v>
      </x:c>
      <x:c r="C75" s="38" t="str">
        <x:v>Base / condiment</x:v>
      </x:c>
      <x:c r="D75" s="38" t="str">
        <x:v>oignons, tomates, ail, gingembre, épices</x:v>
      </x:c>
      <x:c r="E75" s="33" t="n">
        <x:v>20</x:v>
      </x:c>
      <x:c r="F75" s="33" t="n">
        <x:v>35</x:v>
      </x:c>
      <x:c r="G75" s="56" t="n">
        <x:v>2</x:v>
      </x:c>
      <x:c r="H75" s="56" t="n">
        <x:v>4</x:v>
      </x:c>
      <x:c r="I75" s="33" t="n">
        <x:v>0</x:v>
      </x:c>
      <x:c r="J75" s="57" t="n">
        <x:v>4.2</x:v>
      </x:c>
      <x:c r="K75" s="57" t="n">
        <x:f>J75*'Hypothèses &amp; sources'!$E$4</x:f>
        <x:v>4.2</x:v>
      </x:c>
      <x:c r="L75" s="57" t="n">
        <x:f>J75*'Hypothèses &amp; sources'!$F$4</x:f>
        <x:v>4.452000000000001</x:v>
      </x:c>
      <x:c r="M75" s="57" t="n">
        <x:f>J75*'Hypothèses &amp; sources'!$G$4</x:f>
        <x:v>4.620000000000001</x:v>
      </x:c>
      <x:c r="N75" s="57" t="n">
        <x:f>J75*'Hypothèses &amp; sources'!$H$4</x:f>
        <x:v>4.662000000000001</x:v>
      </x:c>
      <x:c r="O75" s="57" t="n">
        <x:f>J75*'Hypothèses &amp; sources'!$I$4</x:f>
        <x:v>5.208</x:v>
      </x:c>
      <x:c r="P75" s="57" t="str">
        <x:v>Lidl</x:v>
      </x:c>
      <x:c r="Q75" s="57" t="n">
        <x:f>IF(P75="Lidl",K75,IF(P75="Super U",L75,IF(P75="Carrefour",M75,IF(P75="Auchan",N75,O75))))</x:f>
        <x:v>4.2</x:v>
      </x:c>
      <x:c r="R75" s="57" t="n">
        <x:f>Q75/'Hypothèses &amp; sources'!$B$4</x:f>
        <x:v>1.05</x:v>
      </x:c>
      <x:c r="S75" s="56" t="n">
        <x:f>MAX(0,'Hypothèses &amp; sources'!$B$5*MAX(0,MIN(100,'Hypothèses &amp; sources'!$B$10-R75*'Hypothèses &amp; sources'!$B$9))+'Hypothèses &amp; sources'!$B$6*(G75/5*100)+'Hypothèses &amp; sources'!$B$7*(H75/5*100)+'Hypothèses &amp; sources'!$B$8*MAX(0,MIN(100,'Hypothèses &amp; sources'!$B$12-E75*'Hypothèses &amp; sources'!$B$11))-T75)</x:f>
        <x:v>56.42800000000001</x:v>
      </x:c>
      <x:c r="T75" s="33" t="n">
        <x:v>18</x:v>
      </x:c>
    </x:row>
    <x:row r="76">
      <x:c r="A76" s="33" t="n">
        <x:v>72</x:v>
      </x:c>
      <x:c r="B76" s="38" t="str">
        <x:v>Mashed potatoes bites</x:v>
      </x:c>
      <x:c r="C76" s="38" t="str">
        <x:v>Apéritif / snack</x:v>
      </x:c>
      <x:c r="D76" s="38" t="str">
        <x:v>purée de pommes de terre, fromage, œuf, chapelure</x:v>
      </x:c>
      <x:c r="E76" s="33" t="n">
        <x:v>20</x:v>
      </x:c>
      <x:c r="F76" s="33" t="n">
        <x:v>35</x:v>
      </x:c>
      <x:c r="G76" s="56" t="n">
        <x:v>3.7</x:v>
      </x:c>
      <x:c r="H76" s="56" t="n">
        <x:v>2.8</x:v>
      </x:c>
      <x:c r="I76" s="33" t="n">
        <x:v>0</x:v>
      </x:c>
      <x:c r="J76" s="57" t="n">
        <x:v>5.5</x:v>
      </x:c>
      <x:c r="K76" s="57" t="n">
        <x:f>J76*'Hypothèses &amp; sources'!$E$4</x:f>
        <x:v>5.5</x:v>
      </x:c>
      <x:c r="L76" s="57" t="n">
        <x:f>J76*'Hypothèses &amp; sources'!$F$4</x:f>
        <x:v>5.83</x:v>
      </x:c>
      <x:c r="M76" s="57" t="n">
        <x:f>J76*'Hypothèses &amp; sources'!$G$4</x:f>
        <x:v>6.050000000000001</x:v>
      </x:c>
      <x:c r="N76" s="57" t="n">
        <x:f>J76*'Hypothèses &amp; sources'!$H$4</x:f>
        <x:v>6.105</x:v>
      </x:c>
      <x:c r="O76" s="57" t="n">
        <x:f>J76*'Hypothèses &amp; sources'!$I$4</x:f>
        <x:v>6.82</x:v>
      </x:c>
      <x:c r="P76" s="57" t="str">
        <x:v>Lidl</x:v>
      </x:c>
      <x:c r="Q76" s="57" t="n">
        <x:f>IF(P76="Lidl",K76,IF(P76="Super U",L76,IF(P76="Carrefour",M76,IF(P76="Auchan",N76,O76))))</x:f>
        <x:v>5.5</x:v>
      </x:c>
      <x:c r="R76" s="57" t="n">
        <x:f>Q76/'Hypothèses &amp; sources'!$B$4</x:f>
        <x:v>1.375</x:v>
      </x:c>
      <x:c r="S76" s="56" t="n">
        <x:f>MAX(0,'Hypothèses &amp; sources'!$B$5*MAX(0,MIN(100,'Hypothèses &amp; sources'!$B$10-R76*'Hypothèses &amp; sources'!$B$9))+'Hypothèses &amp; sources'!$B$6*(G76/5*100)+'Hypothèses &amp; sources'!$B$7*(H76/5*100)+'Hypothèses &amp; sources'!$B$8*MAX(0,MIN(100,'Hypothèses &amp; sources'!$B$12-E76*'Hypothèses &amp; sources'!$B$11))-T76)</x:f>
        <x:v>67.99</x:v>
      </x:c>
      <x:c r="T76" s="33" t="n">
        <x:v>10</x:v>
      </x:c>
    </x:row>
    <x:row r="77">
      <x:c r="A77" s="33" t="n">
        <x:v>73</x:v>
      </x:c>
      <x:c r="B77" s="38" t="str">
        <x:v>Tinga de chou-fleur</x:v>
      </x:c>
      <x:c r="C77" s="38" t="str">
        <x:v>Tacos / végétarien</x:v>
      </x:c>
      <x:c r="D77" s="38" t="str">
        <x:v>chou-fleur, tomates, chipotle, oignon, tortillas, avocat ou crème</x:v>
      </x:c>
      <x:c r="E77" s="33" t="n">
        <x:v>20</x:v>
      </x:c>
      <x:c r="F77" s="33" t="n">
        <x:v>35</x:v>
      </x:c>
      <x:c r="G77" s="56" t="n">
        <x:v>3.8</x:v>
      </x:c>
      <x:c r="H77" s="56" t="n">
        <x:v>4.2</x:v>
      </x:c>
      <x:c r="I77" s="33" t="n">
        <x:v>1</x:v>
      </x:c>
      <x:c r="J77" s="57" t="n">
        <x:v>7</x:v>
      </x:c>
      <x:c r="K77" s="57" t="n">
        <x:f>J77*'Hypothèses &amp; sources'!$E$4</x:f>
        <x:v>7</x:v>
      </x:c>
      <x:c r="L77" s="57" t="n">
        <x:f>J77*'Hypothèses &amp; sources'!$F$4</x:f>
        <x:v>7.42</x:v>
      </x:c>
      <x:c r="M77" s="57" t="n">
        <x:f>J77*'Hypothèses &amp; sources'!$G$4</x:f>
        <x:v>7.700000000000001</x:v>
      </x:c>
      <x:c r="N77" s="57" t="n">
        <x:f>J77*'Hypothèses &amp; sources'!$H$4</x:f>
        <x:v>7.7700000000000005</x:v>
      </x:c>
      <x:c r="O77" s="57" t="n">
        <x:f>J77*'Hypothèses &amp; sources'!$I$4</x:f>
        <x:v>8.68</x:v>
      </x:c>
      <x:c r="P77" s="57" t="str">
        <x:v>Super U</x:v>
      </x:c>
      <x:c r="Q77" s="57" t="n">
        <x:f>IF(P77="Lidl",K77,IF(P77="Super U",L77,IF(P77="Carrefour",M77,IF(P77="Auchan",N77,O77))))</x:f>
        <x:v>7.42</x:v>
      </x:c>
      <x:c r="R77" s="57" t="n">
        <x:f>Q77/'Hypothèses &amp; sources'!$B$4</x:f>
        <x:v>1.855</x:v>
      </x:c>
      <x:c r="S77" s="56" t="n">
        <x:f>MAX(0,'Hypothèses &amp; sources'!$B$5*MAX(0,MIN(100,'Hypothèses &amp; sources'!$B$10-R77*'Hypothèses &amp; sources'!$B$9))+'Hypothèses &amp; sources'!$B$6*(G77/5*100)+'Hypothèses &amp; sources'!$B$7*(H77/5*100)+'Hypothèses &amp; sources'!$B$8*MAX(0,MIN(100,'Hypothèses &amp; sources'!$B$12-E77*'Hypothèses &amp; sources'!$B$11))-T77)</x:f>
        <x:v>81.1708</x:v>
      </x:c>
      <x:c r="T77" s="33" t="n">
        <x:v>0</x:v>
      </x:c>
    </x:row>
    <x:row r="78">
      <x:c r="A78" s="33" t="n">
        <x:v>74</x:v>
      </x:c>
      <x:c r="B78" s="38" t="str">
        <x:v>Pizza egg rolls</x:v>
      </x:c>
      <x:c r="C78" s="38" t="str">
        <x:v>Apéritif / snack</x:v>
      </x:c>
      <x:c r="D78" s="38" t="str">
        <x:v>feuilles à rouleaux, mozzarella, sauce tomate, pepperoni</x:v>
      </x:c>
      <x:c r="E78" s="33" t="n">
        <x:v>20</x:v>
      </x:c>
      <x:c r="F78" s="33" t="n">
        <x:v>35</x:v>
      </x:c>
      <x:c r="G78" s="56" t="n">
        <x:v>3.5</x:v>
      </x:c>
      <x:c r="H78" s="56" t="n">
        <x:v>2.5</x:v>
      </x:c>
      <x:c r="I78" s="33" t="n">
        <x:v>1</x:v>
      </x:c>
      <x:c r="J78" s="57" t="n">
        <x:v>8</x:v>
      </x:c>
      <x:c r="K78" s="57" t="n">
        <x:f>J78*'Hypothèses &amp; sources'!$E$4</x:f>
        <x:v>8</x:v>
      </x:c>
      <x:c r="L78" s="57" t="n">
        <x:f>J78*'Hypothèses &amp; sources'!$F$4</x:f>
        <x:v>8.48</x:v>
      </x:c>
      <x:c r="M78" s="57" t="n">
        <x:f>J78*'Hypothèses &amp; sources'!$G$4</x:f>
        <x:v>8.8</x:v>
      </x:c>
      <x:c r="N78" s="57" t="n">
        <x:f>J78*'Hypothèses &amp; sources'!$H$4</x:f>
        <x:v>8.88</x:v>
      </x:c>
      <x:c r="O78" s="57" t="n">
        <x:f>J78*'Hypothèses &amp; sources'!$I$4</x:f>
        <x:v>9.92</x:v>
      </x:c>
      <x:c r="P78" s="57" t="str">
        <x:v>Super U</x:v>
      </x:c>
      <x:c r="Q78" s="57" t="n">
        <x:f>IF(P78="Lidl",K78,IF(P78="Super U",L78,IF(P78="Carrefour",M78,IF(P78="Auchan",N78,O78))))</x:f>
        <x:v>8.48</x:v>
      </x:c>
      <x:c r="R78" s="57" t="n">
        <x:f>Q78/'Hypothèses &amp; sources'!$B$4</x:f>
        <x:v>2.12</x:v>
      </x:c>
      <x:c r="S78" s="56" t="n">
        <x:f>MAX(0,'Hypothèses &amp; sources'!$B$5*MAX(0,MIN(100,'Hypothèses &amp; sources'!$B$10-R78*'Hypothèses &amp; sources'!$B$9))+'Hypothèses &amp; sources'!$B$6*(G78/5*100)+'Hypothèses &amp; sources'!$B$7*(H78/5*100)+'Hypothèses &amp; sources'!$B$8*MAX(0,MIN(100,'Hypothèses &amp; sources'!$B$12-E78*'Hypothèses &amp; sources'!$B$11))-T78)</x:f>
        <x:v>62.0352</x:v>
      </x:c>
      <x:c r="T78" s="33" t="n">
        <x:v>10</x:v>
      </x:c>
    </x:row>
    <x:row r="79">
      <x:c r="A79" s="33" t="n">
        <x:v>75</x:v>
      </x:c>
      <x:c r="B79" s="38" t="str">
        <x:v>Rouleaux de poulet Buffalo</x:v>
      </x:c>
      <x:c r="C79" s="38" t="str">
        <x:v>Apéritif / poulet</x:v>
      </x:c>
      <x:c r="D79" s="38" t="str">
        <x:v>poulet, tortillas ou feuilles, sauce Buffalo, fromage</x:v>
      </x:c>
      <x:c r="E79" s="33" t="n">
        <x:v>20</x:v>
      </x:c>
      <x:c r="F79" s="33" t="n">
        <x:v>35</x:v>
      </x:c>
      <x:c r="G79" s="56" t="n">
        <x:v>4</x:v>
      </x:c>
      <x:c r="H79" s="56" t="n">
        <x:v>3</x:v>
      </x:c>
      <x:c r="I79" s="33" t="n">
        <x:v>1</x:v>
      </x:c>
      <x:c r="J79" s="57" t="n">
        <x:v>10</x:v>
      </x:c>
      <x:c r="K79" s="57" t="n">
        <x:f>J79*'Hypothèses &amp; sources'!$E$4</x:f>
        <x:v>10</x:v>
      </x:c>
      <x:c r="L79" s="57" t="n">
        <x:f>J79*'Hypothèses &amp; sources'!$F$4</x:f>
        <x:v>10.600000000000001</x:v>
      </x:c>
      <x:c r="M79" s="57" t="n">
        <x:f>J79*'Hypothèses &amp; sources'!$G$4</x:f>
        <x:v>11</x:v>
      </x:c>
      <x:c r="N79" s="57" t="n">
        <x:f>J79*'Hypothèses &amp; sources'!$H$4</x:f>
        <x:v>11.100000000000001</x:v>
      </x:c>
      <x:c r="O79" s="57" t="n">
        <x:f>J79*'Hypothèses &amp; sources'!$I$4</x:f>
        <x:v>12.4</x:v>
      </x:c>
      <x:c r="P79" s="57" t="str">
        <x:v>Super U</x:v>
      </x:c>
      <x:c r="Q79" s="57" t="n">
        <x:f>IF(P79="Lidl",K79,IF(P79="Super U",L79,IF(P79="Carrefour",M79,IF(P79="Auchan",N79,O79))))</x:f>
        <x:v>10.600000000000001</x:v>
      </x:c>
      <x:c r="R79" s="57" t="n">
        <x:f>Q79/'Hypothèses &amp; sources'!$B$4</x:f>
        <x:v>2.6500000000000004</x:v>
      </x:c>
      <x:c r="S79" s="56" t="n">
        <x:f>MAX(0,'Hypothèses &amp; sources'!$B$5*MAX(0,MIN(100,'Hypothèses &amp; sources'!$B$10-R79*'Hypothèses &amp; sources'!$B$9))+'Hypothèses &amp; sources'!$B$6*(G79/5*100)+'Hypothèses &amp; sources'!$B$7*(H79/5*100)+'Hypothèses &amp; sources'!$B$8*MAX(0,MIN(100,'Hypothèses &amp; sources'!$B$12-E79*'Hypothèses &amp; sources'!$B$11))-T79)</x:f>
        <x:v>63.964</x:v>
      </x:c>
      <x:c r="T79" s="33" t="n">
        <x:v>10</x:v>
      </x:c>
    </x:row>
    <x:row r="80">
      <x:c r="A80" s="33" t="n">
        <x:v>76</x:v>
      </x:c>
      <x:c r="B80" s="38" t="str">
        <x:v>Tikka-spiced chicken kebabs</x:v>
      </x:c>
      <x:c r="C80" s="38" t="str">
        <x:v>Curry / poulet</x:v>
      </x:c>
      <x:c r="D80" s="38" t="str">
        <x:v>poulet, yaourt, citron, épices tikka, poivrons, oignon</x:v>
      </x:c>
      <x:c r="E80" s="33" t="n">
        <x:v>20</x:v>
      </x:c>
      <x:c r="F80" s="33" t="n">
        <x:v>35</x:v>
      </x:c>
      <x:c r="G80" s="56" t="n">
        <x:v>4.2</x:v>
      </x:c>
      <x:c r="H80" s="56" t="n">
        <x:v>4</x:v>
      </x:c>
      <x:c r="I80" s="33" t="n">
        <x:v>1</x:v>
      </x:c>
      <x:c r="J80" s="57" t="n">
        <x:v>10</x:v>
      </x:c>
      <x:c r="K80" s="57" t="n">
        <x:f>J80*'Hypothèses &amp; sources'!$E$4</x:f>
        <x:v>10</x:v>
      </x:c>
      <x:c r="L80" s="57" t="n">
        <x:f>J80*'Hypothèses &amp; sources'!$F$4</x:f>
        <x:v>10.600000000000001</x:v>
      </x:c>
      <x:c r="M80" s="57" t="n">
        <x:f>J80*'Hypothèses &amp; sources'!$G$4</x:f>
        <x:v>11</x:v>
      </x:c>
      <x:c r="N80" s="57" t="n">
        <x:f>J80*'Hypothèses &amp; sources'!$H$4</x:f>
        <x:v>11.100000000000001</x:v>
      </x:c>
      <x:c r="O80" s="57" t="n">
        <x:f>J80*'Hypothèses &amp; sources'!$I$4</x:f>
        <x:v>12.4</x:v>
      </x:c>
      <x:c r="P80" s="57" t="str">
        <x:v>Super U</x:v>
      </x:c>
      <x:c r="Q80" s="57" t="n">
        <x:f>IF(P80="Lidl",K80,IF(P80="Super U",L80,IF(P80="Carrefour",M80,IF(P80="Auchan",N80,O80))))</x:f>
        <x:v>10.600000000000001</x:v>
      </x:c>
      <x:c r="R80" s="57" t="n">
        <x:f>Q80/'Hypothèses &amp; sources'!$B$4</x:f>
        <x:v>2.6500000000000004</x:v>
      </x:c>
      <x:c r="S80" s="56" t="n">
        <x:f>MAX(0,'Hypothèses &amp; sources'!$B$5*MAX(0,MIN(100,'Hypothèses &amp; sources'!$B$10-R80*'Hypothèses &amp; sources'!$B$9))+'Hypothèses &amp; sources'!$B$6*(G80/5*100)+'Hypothèses &amp; sources'!$B$7*(H80/5*100)+'Hypothèses &amp; sources'!$B$8*MAX(0,MIN(100,'Hypothèses &amp; sources'!$B$12-E80*'Hypothèses &amp; sources'!$B$11))-T80)</x:f>
        <x:v>78.68400000000001</x:v>
      </x:c>
      <x:c r="T80" s="33" t="n">
        <x:v>0</x:v>
      </x:c>
    </x:row>
    <x:row r="81">
      <x:c r="A81" s="33" t="n">
        <x:v>77</x:v>
      </x:c>
      <x:c r="B81" s="38" t="str">
        <x:v>Chicken pesto fettucine</x:v>
      </x:c>
      <x:c r="C81" s="38" t="str">
        <x:v>Pâtes / poulet</x:v>
      </x:c>
      <x:c r="D81" s="38" t="str">
        <x:v>fettuccine, poulet, pesto, crème, parmesan</x:v>
      </x:c>
      <x:c r="E81" s="33" t="n">
        <x:v>20</x:v>
      </x:c>
      <x:c r="F81" s="33" t="n">
        <x:v>35</x:v>
      </x:c>
      <x:c r="G81" s="56" t="n">
        <x:v>4.5</x:v>
      </x:c>
      <x:c r="H81" s="56" t="n">
        <x:v>3.5</x:v>
      </x:c>
      <x:c r="I81" s="33" t="n">
        <x:v>0</x:v>
      </x:c>
      <x:c r="J81" s="57" t="n">
        <x:v>12.2</x:v>
      </x:c>
      <x:c r="K81" s="57" t="n">
        <x:f>J81*'Hypothèses &amp; sources'!$E$4</x:f>
        <x:v>12.2</x:v>
      </x:c>
      <x:c r="L81" s="57" t="n">
        <x:f>J81*'Hypothèses &amp; sources'!$F$4</x:f>
        <x:v>12.932</x:v>
      </x:c>
      <x:c r="M81" s="57" t="n">
        <x:f>J81*'Hypothèses &amp; sources'!$G$4</x:f>
        <x:v>13.42</x:v>
      </x:c>
      <x:c r="N81" s="57" t="n">
        <x:f>J81*'Hypothèses &amp; sources'!$H$4</x:f>
        <x:v>13.542</x:v>
      </x:c>
      <x:c r="O81" s="57" t="n">
        <x:f>J81*'Hypothèses &amp; sources'!$I$4</x:f>
        <x:v>15.127999999999998</x:v>
      </x:c>
      <x:c r="P81" s="57" t="str">
        <x:v>Lidl</x:v>
      </x:c>
      <x:c r="Q81" s="57" t="n">
        <x:f>IF(P81="Lidl",K81,IF(P81="Super U",L81,IF(P81="Carrefour",M81,IF(P81="Auchan",N81,O81))))</x:f>
        <x:v>12.2</x:v>
      </x:c>
      <x:c r="R81" s="57" t="n">
        <x:f>Q81/'Hypothèses &amp; sources'!$B$4</x:f>
        <x:v>3.05</x:v>
      </x:c>
      <x:c r="S81" s="56" t="n">
        <x:f>MAX(0,'Hypothèses &amp; sources'!$B$5*MAX(0,MIN(100,'Hypothèses &amp; sources'!$B$10-R81*'Hypothèses &amp; sources'!$B$9))+'Hypothèses &amp; sources'!$B$6*(G81/5*100)+'Hypothèses &amp; sources'!$B$7*(H81/5*100)+'Hypothèses &amp; sources'!$B$8*MAX(0,MIN(100,'Hypothèses &amp; sources'!$B$12-E81*'Hypothèses &amp; sources'!$B$11))-T81)</x:f>
        <x:v>76.548</x:v>
      </x:c>
      <x:c r="T81" s="33" t="n">
        <x:v>0</x:v>
      </x:c>
    </x:row>
    <x:row r="82">
      <x:c r="A82" s="33" t="n">
        <x:v>78</x:v>
      </x:c>
      <x:c r="B82" s="38" t="str">
        <x:v>Meatball sliders</x:v>
      </x:c>
      <x:c r="C82" s="38" t="str">
        <x:v>Sandwich / viande</x:v>
      </x:c>
      <x:c r="D82" s="38" t="str">
        <x:v>mini-pains, boulettes de bœuf, sauce tomate, mozzarella</x:v>
      </x:c>
      <x:c r="E82" s="33" t="n">
        <x:v>20</x:v>
      </x:c>
      <x:c r="F82" s="33" t="n">
        <x:v>35</x:v>
      </x:c>
      <x:c r="G82" s="56" t="n">
        <x:v>4.4</x:v>
      </x:c>
      <x:c r="H82" s="56" t="n">
        <x:v>3</x:v>
      </x:c>
      <x:c r="I82" s="33" t="n">
        <x:v>1</x:v>
      </x:c>
      <x:c r="J82" s="57" t="n">
        <x:v>12.5</x:v>
      </x:c>
      <x:c r="K82" s="57" t="n">
        <x:f>J82*'Hypothèses &amp; sources'!$E$4</x:f>
        <x:v>12.5</x:v>
      </x:c>
      <x:c r="L82" s="57" t="n">
        <x:f>J82*'Hypothèses &amp; sources'!$F$4</x:f>
        <x:v>13.25</x:v>
      </x:c>
      <x:c r="M82" s="57" t="n">
        <x:f>J82*'Hypothèses &amp; sources'!$G$4</x:f>
        <x:v>13.750000000000002</x:v>
      </x:c>
      <x:c r="N82" s="57" t="n">
        <x:f>J82*'Hypothèses &amp; sources'!$H$4</x:f>
        <x:v>13.875000000000002</x:v>
      </x:c>
      <x:c r="O82" s="57" t="n">
        <x:f>J82*'Hypothèses &amp; sources'!$I$4</x:f>
        <x:v>15.5</x:v>
      </x:c>
      <x:c r="P82" s="57" t="str">
        <x:v>Super U</x:v>
      </x:c>
      <x:c r="Q82" s="57" t="n">
        <x:f>IF(P82="Lidl",K82,IF(P82="Super U",L82,IF(P82="Carrefour",M82,IF(P82="Auchan",N82,O82))))</x:f>
        <x:v>13.25</x:v>
      </x:c>
      <x:c r="R82" s="57" t="n">
        <x:f>Q82/'Hypothèses &amp; sources'!$B$4</x:f>
        <x:v>3.3125</x:v>
      </x:c>
      <x:c r="S82" s="56" t="n">
        <x:f>MAX(0,'Hypothèses &amp; sources'!$B$5*MAX(0,MIN(100,'Hypothèses &amp; sources'!$B$10-R82*'Hypothèses &amp; sources'!$B$9))+'Hypothèses &amp; sources'!$B$6*(G82/5*100)+'Hypothèses &amp; sources'!$B$7*(H82/5*100)+'Hypothèses &amp; sources'!$B$8*MAX(0,MIN(100,'Hypothèses &amp; sources'!$B$12-E82*'Hypothèses &amp; sources'!$B$11))-T82)</x:f>
        <x:v>72.86500000000001</x:v>
      </x:c>
      <x:c r="T82" s="33" t="n">
        <x:v>0</x:v>
      </x:c>
    </x:row>
    <x:row r="83">
      <x:c r="A83" s="33" t="n">
        <x:v>79</x:v>
      </x:c>
      <x:c r="B83" s="38" t="str">
        <x:v>Garlic potatoes</x:v>
      </x:c>
      <x:c r="C83" s="38" t="str">
        <x:v>Plat complet</x:v>
      </x:c>
      <x:c r="D83" s="38" t="str">
        <x:v>ail, pommes de terre</x:v>
      </x:c>
      <x:c r="E83" s="33" t="n">
        <x:v>20</x:v>
      </x:c>
      <x:c r="F83" s="33" t="n">
        <x:v>40</x:v>
      </x:c>
      <x:c r="G83" s="56" t="n">
        <x:v>3.7</x:v>
      </x:c>
      <x:c r="H83" s="56" t="n">
        <x:v>3.1</x:v>
      </x:c>
      <x:c r="I83" s="33" t="n">
        <x:v>0</x:v>
      </x:c>
      <x:c r="J83" s="57" t="n">
        <x:v>3.2</x:v>
      </x:c>
      <x:c r="K83" s="57" t="n">
        <x:f>J83*'Hypothèses &amp; sources'!$E$4</x:f>
        <x:v>3.2</x:v>
      </x:c>
      <x:c r="L83" s="57" t="n">
        <x:f>J83*'Hypothèses &amp; sources'!$F$4</x:f>
        <x:v>3.3920000000000003</x:v>
      </x:c>
      <x:c r="M83" s="57" t="n">
        <x:f>J83*'Hypothèses &amp; sources'!$G$4</x:f>
        <x:v>3.5200000000000005</x:v>
      </x:c>
      <x:c r="N83" s="57" t="n">
        <x:f>J83*'Hypothèses &amp; sources'!$H$4</x:f>
        <x:v>3.5520000000000005</x:v>
      </x:c>
      <x:c r="O83" s="57" t="n">
        <x:f>J83*'Hypothèses &amp; sources'!$I$4</x:f>
        <x:v>3.968</x:v>
      </x:c>
      <x:c r="P83" s="57" t="str">
        <x:v>Lidl</x:v>
      </x:c>
      <x:c r="Q83" s="57" t="n">
        <x:f>IF(P83="Lidl",K83,IF(P83="Super U",L83,IF(P83="Carrefour",M83,IF(P83="Auchan",N83,O83))))</x:f>
        <x:v>3.2</x:v>
      </x:c>
      <x:c r="R83" s="57" t="n">
        <x:f>Q83/'Hypothèses &amp; sources'!$B$4</x:f>
        <x:v>0.8</x:v>
      </x:c>
      <x:c r="S83" s="56" t="n">
        <x:f>MAX(0,'Hypothèses &amp; sources'!$B$5*MAX(0,MIN(100,'Hypothèses &amp; sources'!$B$10-R83*'Hypothèses &amp; sources'!$B$9))+'Hypothèses &amp; sources'!$B$6*(G83/5*100)+'Hypothèses &amp; sources'!$B$7*(H83/5*100)+'Hypothèses &amp; sources'!$B$8*MAX(0,MIN(100,'Hypothèses &amp; sources'!$B$12-E83*'Hypothèses &amp; sources'!$B$11))-T83)</x:f>
        <x:v>81.8</x:v>
      </x:c>
      <x:c r="T83" s="33" t="n">
        <x:v>0</x:v>
      </x:c>
    </x:row>
    <x:row r="84">
      <x:c r="A84" s="33" t="n">
        <x:v>80</x:v>
      </x:c>
      <x:c r="B84" s="38" t="str">
        <x:v>Mixed lentils with ginger and chile</x:v>
      </x:c>
      <x:c r="C84" s="38" t="str">
        <x:v>Plat complet</x:v>
      </x:c>
      <x:c r="D84" s="38" t="str">
        <x:v>gingembre, piment / chili, légumineuses</x:v>
      </x:c>
      <x:c r="E84" s="33" t="n">
        <x:v>20</x:v>
      </x:c>
      <x:c r="F84" s="33" t="n">
        <x:v>40</x:v>
      </x:c>
      <x:c r="G84" s="56" t="n">
        <x:v>4</x:v>
      </x:c>
      <x:c r="H84" s="56" t="n">
        <x:v>3.6</x:v>
      </x:c>
      <x:c r="I84" s="33" t="n">
        <x:v>0</x:v>
      </x:c>
      <x:c r="J84" s="57" t="n">
        <x:v>3.2</x:v>
      </x:c>
      <x:c r="K84" s="57" t="n">
        <x:f>J84*'Hypothèses &amp; sources'!$E$4</x:f>
        <x:v>3.2</x:v>
      </x:c>
      <x:c r="L84" s="57" t="n">
        <x:f>J84*'Hypothèses &amp; sources'!$F$4</x:f>
        <x:v>3.3920000000000003</x:v>
      </x:c>
      <x:c r="M84" s="57" t="n">
        <x:f>J84*'Hypothèses &amp; sources'!$G$4</x:f>
        <x:v>3.5200000000000005</x:v>
      </x:c>
      <x:c r="N84" s="57" t="n">
        <x:f>J84*'Hypothèses &amp; sources'!$H$4</x:f>
        <x:v>3.5520000000000005</x:v>
      </x:c>
      <x:c r="O84" s="57" t="n">
        <x:f>J84*'Hypothèses &amp; sources'!$I$4</x:f>
        <x:v>3.968</x:v>
      </x:c>
      <x:c r="P84" s="57" t="str">
        <x:v>Lidl</x:v>
      </x:c>
      <x:c r="Q84" s="57" t="n">
        <x:f>IF(P84="Lidl",K84,IF(P84="Super U",L84,IF(P84="Carrefour",M84,IF(P84="Auchan",N84,O84))))</x:f>
        <x:v>3.2</x:v>
      </x:c>
      <x:c r="R84" s="57" t="n">
        <x:f>Q84/'Hypothèses &amp; sources'!$B$4</x:f>
        <x:v>0.8</x:v>
      </x:c>
      <x:c r="S84" s="56" t="n">
        <x:f>MAX(0,'Hypothèses &amp; sources'!$B$5*MAX(0,MIN(100,'Hypothèses &amp; sources'!$B$10-R84*'Hypothèses &amp; sources'!$B$9))+'Hypothèses &amp; sources'!$B$6*(G84/5*100)+'Hypothèses &amp; sources'!$B$7*(H84/5*100)+'Hypothèses &amp; sources'!$B$8*MAX(0,MIN(100,'Hypothèses &amp; sources'!$B$12-E84*'Hypothèses &amp; sources'!$B$11))-T84)</x:f>
        <x:v>85.28</x:v>
      </x:c>
      <x:c r="T84" s="33" t="n">
        <x:v>0</x:v>
      </x:c>
    </x:row>
    <x:row r="85">
      <x:c r="A85" s="33" t="n">
        <x:v>81</x:v>
      </x:c>
      <x:c r="B85" s="38" t="str">
        <x:v>Mujadara/lentils and rice</x:v>
      </x:c>
      <x:c r="C85" s="38" t="str">
        <x:v>Plat complet</x:v>
      </x:c>
      <x:c r="D85" s="38" t="str">
        <x:v>riz, légumineuses</x:v>
      </x:c>
      <x:c r="E85" s="33" t="n">
        <x:v>20</x:v>
      </x:c>
      <x:c r="F85" s="33" t="n">
        <x:v>40</x:v>
      </x:c>
      <x:c r="G85" s="56" t="n">
        <x:v>4.4</x:v>
      </x:c>
      <x:c r="H85" s="56" t="n">
        <x:v>3.6</x:v>
      </x:c>
      <x:c r="I85" s="33" t="n">
        <x:v>0</x:v>
      </x:c>
      <x:c r="J85" s="57" t="n">
        <x:v>3.2</x:v>
      </x:c>
      <x:c r="K85" s="57" t="n">
        <x:f>J85*'Hypothèses &amp; sources'!$E$4</x:f>
        <x:v>3.2</x:v>
      </x:c>
      <x:c r="L85" s="57" t="n">
        <x:f>J85*'Hypothèses &amp; sources'!$F$4</x:f>
        <x:v>3.3920000000000003</x:v>
      </x:c>
      <x:c r="M85" s="57" t="n">
        <x:f>J85*'Hypothèses &amp; sources'!$G$4</x:f>
        <x:v>3.5200000000000005</x:v>
      </x:c>
      <x:c r="N85" s="57" t="n">
        <x:f>J85*'Hypothèses &amp; sources'!$H$4</x:f>
        <x:v>3.5520000000000005</x:v>
      </x:c>
      <x:c r="O85" s="57" t="n">
        <x:f>J85*'Hypothèses &amp; sources'!$I$4</x:f>
        <x:v>3.968</x:v>
      </x:c>
      <x:c r="P85" s="57" t="str">
        <x:v>Lidl</x:v>
      </x:c>
      <x:c r="Q85" s="57" t="n">
        <x:f>IF(P85="Lidl",K85,IF(P85="Super U",L85,IF(P85="Carrefour",M85,IF(P85="Auchan",N85,O85))))</x:f>
        <x:v>3.2</x:v>
      </x:c>
      <x:c r="R85" s="57" t="n">
        <x:f>Q85/'Hypothèses &amp; sources'!$B$4</x:f>
        <x:v>0.8</x:v>
      </x:c>
      <x:c r="S85" s="56" t="n">
        <x:f>MAX(0,'Hypothèses &amp; sources'!$B$5*MAX(0,MIN(100,'Hypothèses &amp; sources'!$B$10-R85*'Hypothèses &amp; sources'!$B$9))+'Hypothèses &amp; sources'!$B$6*(G85/5*100)+'Hypothèses &amp; sources'!$B$7*(H85/5*100)+'Hypothèses &amp; sources'!$B$8*MAX(0,MIN(100,'Hypothèses &amp; sources'!$B$12-E85*'Hypothèses &amp; sources'!$B$11))-T85)</x:f>
        <x:v>87.52000000000001</x:v>
      </x:c>
      <x:c r="T85" s="33" t="n">
        <x:v>0</x:v>
      </x:c>
    </x:row>
    <x:row r="86">
      <x:c r="A86" s="33" t="n">
        <x:v>82</x:v>
      </x:c>
      <x:c r="B86" s="38" t="str">
        <x:v>Riz et haricots</x:v>
      </x:c>
      <x:c r="C86" s="38" t="str">
        <x:v>Plat complet</x:v>
      </x:c>
      <x:c r="D86" s="38" t="str">
        <x:v>riz, légumineuses</x:v>
      </x:c>
      <x:c r="E86" s="33" t="n">
        <x:v>20</x:v>
      </x:c>
      <x:c r="F86" s="33" t="n">
        <x:v>40</x:v>
      </x:c>
      <x:c r="G86" s="56" t="n">
        <x:v>4.4</x:v>
      </x:c>
      <x:c r="H86" s="56" t="n">
        <x:v>3.6</x:v>
      </x:c>
      <x:c r="I86" s="33" t="n">
        <x:v>0</x:v>
      </x:c>
      <x:c r="J86" s="57" t="n">
        <x:v>3.2</x:v>
      </x:c>
      <x:c r="K86" s="57" t="n">
        <x:f>J86*'Hypothèses &amp; sources'!$E$4</x:f>
        <x:v>3.2</x:v>
      </x:c>
      <x:c r="L86" s="57" t="n">
        <x:f>J86*'Hypothèses &amp; sources'!$F$4</x:f>
        <x:v>3.3920000000000003</x:v>
      </x:c>
      <x:c r="M86" s="57" t="n">
        <x:f>J86*'Hypothèses &amp; sources'!$G$4</x:f>
        <x:v>3.5200000000000005</x:v>
      </x:c>
      <x:c r="N86" s="57" t="n">
        <x:f>J86*'Hypothèses &amp; sources'!$H$4</x:f>
        <x:v>3.5520000000000005</x:v>
      </x:c>
      <x:c r="O86" s="57" t="n">
        <x:f>J86*'Hypothèses &amp; sources'!$I$4</x:f>
        <x:v>3.968</x:v>
      </x:c>
      <x:c r="P86" s="57" t="str">
        <x:v>Lidl</x:v>
      </x:c>
      <x:c r="Q86" s="57" t="n">
        <x:f>IF(P86="Lidl",K86,IF(P86="Super U",L86,IF(P86="Carrefour",M86,IF(P86="Auchan",N86,O86))))</x:f>
        <x:v>3.2</x:v>
      </x:c>
      <x:c r="R86" s="57" t="n">
        <x:f>Q86/'Hypothèses &amp; sources'!$B$4</x:f>
        <x:v>0.8</x:v>
      </x:c>
      <x:c r="S86" s="56" t="n">
        <x:f>MAX(0,'Hypothèses &amp; sources'!$B$5*MAX(0,MIN(100,'Hypothèses &amp; sources'!$B$10-R86*'Hypothèses &amp; sources'!$B$9))+'Hypothèses &amp; sources'!$B$6*(G86/5*100)+'Hypothèses &amp; sources'!$B$7*(H86/5*100)+'Hypothèses &amp; sources'!$B$8*MAX(0,MIN(100,'Hypothèses &amp; sources'!$B$12-E86*'Hypothèses &amp; sources'!$B$11))-T86)</x:f>
        <x:v>87.52000000000001</x:v>
      </x:c>
      <x:c r="T86" s="33" t="n">
        <x:v>0</x:v>
      </x:c>
    </x:row>
    <x:row r="87">
      <x:c r="A87" s="33" t="n">
        <x:v>83</x:v>
      </x:c>
      <x:c r="B87" s="38" t="str">
        <x:v>Soupe aux œufs</x:v>
      </x:c>
      <x:c r="C87" s="38" t="str">
        <x:v>Plat complet</x:v>
      </x:c>
      <x:c r="D87" s="38" t="str">
        <x:v>œufs</x:v>
      </x:c>
      <x:c r="E87" s="33" t="n">
        <x:v>20</x:v>
      </x:c>
      <x:c r="F87" s="33" t="n">
        <x:v>40</x:v>
      </x:c>
      <x:c r="G87" s="56" t="n">
        <x:v>3.6</x:v>
      </x:c>
      <x:c r="H87" s="56" t="n">
        <x:v>3.1</x:v>
      </x:c>
      <x:c r="I87" s="33" t="n">
        <x:v>0</x:v>
      </x:c>
      <x:c r="J87" s="57" t="n">
        <x:v>3.3</x:v>
      </x:c>
      <x:c r="K87" s="57" t="n">
        <x:f>J87*'Hypothèses &amp; sources'!$E$4</x:f>
        <x:v>3.3</x:v>
      </x:c>
      <x:c r="L87" s="57" t="n">
        <x:f>J87*'Hypothèses &amp; sources'!$F$4</x:f>
        <x:v>3.4979999999999998</x:v>
      </x:c>
      <x:c r="M87" s="57" t="n">
        <x:f>J87*'Hypothèses &amp; sources'!$G$4</x:f>
        <x:v>3.63</x:v>
      </x:c>
      <x:c r="N87" s="57" t="n">
        <x:f>J87*'Hypothèses &amp; sources'!$H$4</x:f>
        <x:v>3.6630000000000003</x:v>
      </x:c>
      <x:c r="O87" s="57" t="n">
        <x:f>J87*'Hypothèses &amp; sources'!$I$4</x:f>
        <x:v>4.092</x:v>
      </x:c>
      <x:c r="P87" s="57" t="str">
        <x:v>Lidl</x:v>
      </x:c>
      <x:c r="Q87" s="57" t="n">
        <x:f>IF(P87="Lidl",K87,IF(P87="Super U",L87,IF(P87="Carrefour",M87,IF(P87="Auchan",N87,O87))))</x:f>
        <x:v>3.3</x:v>
      </x:c>
      <x:c r="R87" s="57" t="n">
        <x:f>Q87/'Hypothèses &amp; sources'!$B$4</x:f>
        <x:v>0.825</x:v>
      </x:c>
      <x:c r="S87" s="56" t="n">
        <x:f>MAX(0,'Hypothèses &amp; sources'!$B$5*MAX(0,MIN(100,'Hypothèses &amp; sources'!$B$10-R87*'Hypothèses &amp; sources'!$B$9))+'Hypothèses &amp; sources'!$B$6*(G87/5*100)+'Hypothèses &amp; sources'!$B$7*(H87/5*100)+'Hypothèses &amp; sources'!$B$8*MAX(0,MIN(100,'Hypothèses &amp; sources'!$B$12-E87*'Hypothèses &amp; sources'!$B$11))-T87)</x:f>
        <x:v>81.24000000000001</x:v>
      </x:c>
      <x:c r="T87" s="33" t="n">
        <x:v>0</x:v>
      </x:c>
    </x:row>
    <x:row r="88">
      <x:c r="A88" s="33" t="n">
        <x:v>84</x:v>
      </x:c>
      <x:c r="B88" s="38" t="str">
        <x:v>Spicy garlic eggplant</x:v>
      </x:c>
      <x:c r="C88" s="38" t="str">
        <x:v>Plat complet</x:v>
      </x:c>
      <x:c r="D88" s="38" t="str">
        <x:v>ail, aubergine</x:v>
      </x:c>
      <x:c r="E88" s="33" t="n">
        <x:v>20</x:v>
      </x:c>
      <x:c r="F88" s="33" t="n">
        <x:v>40</x:v>
      </x:c>
      <x:c r="G88" s="56" t="n">
        <x:v>3.2</x:v>
      </x:c>
      <x:c r="H88" s="56" t="n">
        <x:v>3.4</x:v>
      </x:c>
      <x:c r="I88" s="33" t="n">
        <x:v>0</x:v>
      </x:c>
      <x:c r="J88" s="57" t="n">
        <x:v>3.4</x:v>
      </x:c>
      <x:c r="K88" s="57" t="n">
        <x:f>J88*'Hypothèses &amp; sources'!$E$4</x:f>
        <x:v>3.4</x:v>
      </x:c>
      <x:c r="L88" s="57" t="n">
        <x:f>J88*'Hypothèses &amp; sources'!$F$4</x:f>
        <x:v>3.604</x:v>
      </x:c>
      <x:c r="M88" s="57" t="n">
        <x:f>J88*'Hypothèses &amp; sources'!$G$4</x:f>
        <x:v>3.74</x:v>
      </x:c>
      <x:c r="N88" s="57" t="n">
        <x:f>J88*'Hypothèses &amp; sources'!$H$4</x:f>
        <x:v>3.774</x:v>
      </x:c>
      <x:c r="O88" s="57" t="n">
        <x:f>J88*'Hypothèses &amp; sources'!$I$4</x:f>
        <x:v>4.216</x:v>
      </x:c>
      <x:c r="P88" s="57" t="str">
        <x:v>Lidl</x:v>
      </x:c>
      <x:c r="Q88" s="57" t="n">
        <x:f>IF(P88="Lidl",K88,IF(P88="Super U",L88,IF(P88="Carrefour",M88,IF(P88="Auchan",N88,O88))))</x:f>
        <x:v>3.4</x:v>
      </x:c>
      <x:c r="R88" s="57" t="n">
        <x:f>Q88/'Hypothèses &amp; sources'!$B$4</x:f>
        <x:v>0.85</x:v>
      </x:c>
      <x:c r="S88" s="56" t="n">
        <x:f>MAX(0,'Hypothèses &amp; sources'!$B$5*MAX(0,MIN(100,'Hypothèses &amp; sources'!$B$10-R88*'Hypothèses &amp; sources'!$B$9))+'Hypothèses &amp; sources'!$B$6*(G88/5*100)+'Hypothèses &amp; sources'!$B$7*(H88/5*100)+'Hypothèses &amp; sources'!$B$8*MAX(0,MIN(100,'Hypothèses &amp; sources'!$B$12-E88*'Hypothèses &amp; sources'!$B$11))-T88)</x:f>
        <x:v>79.996</x:v>
      </x:c>
      <x:c r="T88" s="33" t="n">
        <x:v>0</x:v>
      </x:c>
    </x:row>
    <x:row r="89">
      <x:c r="A89" s="33" t="n">
        <x:v>85</x:v>
      </x:c>
      <x:c r="B89" s="38" t="str">
        <x:v>Mexican chili eggs</x:v>
      </x:c>
      <x:c r="C89" s="38" t="str">
        <x:v>Plat complet</x:v>
      </x:c>
      <x:c r="D89" s="38" t="str">
        <x:v>piment / chili, œufs</x:v>
      </x:c>
      <x:c r="E89" s="33" t="n">
        <x:v>20</x:v>
      </x:c>
      <x:c r="F89" s="33" t="n">
        <x:v>40</x:v>
      </x:c>
      <x:c r="G89" s="56" t="n">
        <x:v>3.6</x:v>
      </x:c>
      <x:c r="H89" s="56" t="n">
        <x:v>3.1</x:v>
      </x:c>
      <x:c r="I89" s="33" t="n">
        <x:v>0</x:v>
      </x:c>
      <x:c r="J89" s="57" t="n">
        <x:v>3.8</x:v>
      </x:c>
      <x:c r="K89" s="57" t="n">
        <x:f>J89*'Hypothèses &amp; sources'!$E$4</x:f>
        <x:v>3.8</x:v>
      </x:c>
      <x:c r="L89" s="57" t="n">
        <x:f>J89*'Hypothèses &amp; sources'!$F$4</x:f>
        <x:v>4.028</x:v>
      </x:c>
      <x:c r="M89" s="57" t="n">
        <x:f>J89*'Hypothèses &amp; sources'!$G$4</x:f>
        <x:v>4.18</x:v>
      </x:c>
      <x:c r="N89" s="57" t="n">
        <x:f>J89*'Hypothèses &amp; sources'!$H$4</x:f>
        <x:v>4.218</x:v>
      </x:c>
      <x:c r="O89" s="57" t="n">
        <x:f>J89*'Hypothèses &amp; sources'!$I$4</x:f>
        <x:v>4.712</x:v>
      </x:c>
      <x:c r="P89" s="57" t="str">
        <x:v>Lidl</x:v>
      </x:c>
      <x:c r="Q89" s="57" t="n">
        <x:f>IF(P89="Lidl",K89,IF(P89="Super U",L89,IF(P89="Carrefour",M89,IF(P89="Auchan",N89,O89))))</x:f>
        <x:v>3.8</x:v>
      </x:c>
      <x:c r="R89" s="57" t="n">
        <x:f>Q89/'Hypothèses &amp; sources'!$B$4</x:f>
        <x:v>0.95</x:v>
      </x:c>
      <x:c r="S89" s="56" t="n">
        <x:f>MAX(0,'Hypothèses &amp; sources'!$B$5*MAX(0,MIN(100,'Hypothèses &amp; sources'!$B$10-R89*'Hypothèses &amp; sources'!$B$9))+'Hypothèses &amp; sources'!$B$6*(G89/5*100)+'Hypothèses &amp; sources'!$B$7*(H89/5*100)+'Hypothèses &amp; sources'!$B$8*MAX(0,MIN(100,'Hypothèses &amp; sources'!$B$12-E89*'Hypothèses &amp; sources'!$B$11))-T89)</x:f>
        <x:v>80.652</x:v>
      </x:c>
      <x:c r="T89" s="33" t="n">
        <x:v>0</x:v>
      </x:c>
    </x:row>
    <x:row r="90">
      <x:c r="A90" s="33" t="n">
        <x:v>86</x:v>
      </x:c>
      <x:c r="B90" s="38" t="str">
        <x:v>Tomato eggs</x:v>
      </x:c>
      <x:c r="C90" s="38" t="str">
        <x:v>Plat complet</x:v>
      </x:c>
      <x:c r="D90" s="38" t="str">
        <x:v>œufs, tomates</x:v>
      </x:c>
      <x:c r="E90" s="33" t="n">
        <x:v>20</x:v>
      </x:c>
      <x:c r="F90" s="33" t="n">
        <x:v>40</x:v>
      </x:c>
      <x:c r="G90" s="56" t="n">
        <x:v>3.6</x:v>
      </x:c>
      <x:c r="H90" s="56" t="n">
        <x:v>3.1</x:v>
      </x:c>
      <x:c r="I90" s="33" t="n">
        <x:v>0</x:v>
      </x:c>
      <x:c r="J90" s="57" t="n">
        <x:v>4.6</x:v>
      </x:c>
      <x:c r="K90" s="57" t="n">
        <x:f>J90*'Hypothèses &amp; sources'!$E$4</x:f>
        <x:v>4.6</x:v>
      </x:c>
      <x:c r="L90" s="57" t="n">
        <x:f>J90*'Hypothèses &amp; sources'!$F$4</x:f>
        <x:v>4.8759999999999994</x:v>
      </x:c>
      <x:c r="M90" s="57" t="n">
        <x:f>J90*'Hypothèses &amp; sources'!$G$4</x:f>
        <x:v>5.06</x:v>
      </x:c>
      <x:c r="N90" s="57" t="n">
        <x:f>J90*'Hypothèses &amp; sources'!$H$4</x:f>
        <x:v>5.106</x:v>
      </x:c>
      <x:c r="O90" s="57" t="n">
        <x:f>J90*'Hypothèses &amp; sources'!$I$4</x:f>
        <x:v>5.704</x:v>
      </x:c>
      <x:c r="P90" s="57" t="str">
        <x:v>Lidl</x:v>
      </x:c>
      <x:c r="Q90" s="57" t="n">
        <x:f>IF(P90="Lidl",K90,IF(P90="Super U",L90,IF(P90="Carrefour",M90,IF(P90="Auchan",N90,O90))))</x:f>
        <x:v>4.6</x:v>
      </x:c>
      <x:c r="R90" s="57" t="n">
        <x:f>Q90/'Hypothèses &amp; sources'!$B$4</x:f>
        <x:v>1.15</x:v>
      </x:c>
      <x:c r="S90" s="56" t="n">
        <x:f>MAX(0,'Hypothèses &amp; sources'!$B$5*MAX(0,MIN(100,'Hypothèses &amp; sources'!$B$10-R90*'Hypothèses &amp; sources'!$B$9))+'Hypothèses &amp; sources'!$B$6*(G90/5*100)+'Hypothèses &amp; sources'!$B$7*(H90/5*100)+'Hypothèses &amp; sources'!$B$8*MAX(0,MIN(100,'Hypothèses &amp; sources'!$B$12-E90*'Hypothèses &amp; sources'!$B$11))-T90)</x:f>
        <x:v>79.644</x:v>
      </x:c>
      <x:c r="T90" s="33" t="n">
        <x:v>0</x:v>
      </x:c>
    </x:row>
    <x:row r="91">
      <x:c r="A91" s="33" t="n">
        <x:v>87</x:v>
      </x:c>
      <x:c r="B91" s="38" t="str">
        <x:v>Tahari/riz jaune aux pomem de terre</x:v>
      </x:c>
      <x:c r="C91" s="38" t="str">
        <x:v>Riz / végétarien</x:v>
      </x:c>
      <x:c r="D91" s="38" t="str">
        <x:v>riz, pommes de terre, oignon, curcuma, épices</x:v>
      </x:c>
      <x:c r="E91" s="33" t="n">
        <x:v>20</x:v>
      </x:c>
      <x:c r="F91" s="33" t="n">
        <x:v>40</x:v>
      </x:c>
      <x:c r="G91" s="56" t="n">
        <x:v>4.3</x:v>
      </x:c>
      <x:c r="H91" s="56" t="n">
        <x:v>3.8</x:v>
      </x:c>
      <x:c r="I91" s="33" t="n">
        <x:v>1</x:v>
      </x:c>
      <x:c r="J91" s="57" t="n">
        <x:v>5</x:v>
      </x:c>
      <x:c r="K91" s="57" t="n">
        <x:f>J91*'Hypothèses &amp; sources'!$E$4</x:f>
        <x:v>5</x:v>
      </x:c>
      <x:c r="L91" s="57" t="n">
        <x:f>J91*'Hypothèses &amp; sources'!$F$4</x:f>
        <x:v>5.300000000000001</x:v>
      </x:c>
      <x:c r="M91" s="57" t="n">
        <x:f>J91*'Hypothèses &amp; sources'!$G$4</x:f>
        <x:v>5.5</x:v>
      </x:c>
      <x:c r="N91" s="57" t="n">
        <x:f>J91*'Hypothèses &amp; sources'!$H$4</x:f>
        <x:v>5.550000000000001</x:v>
      </x:c>
      <x:c r="O91" s="57" t="n">
        <x:f>J91*'Hypothèses &amp; sources'!$I$4</x:f>
        <x:v>6.2</x:v>
      </x:c>
      <x:c r="P91" s="57" t="str">
        <x:v>Super U</x:v>
      </x:c>
      <x:c r="Q91" s="57" t="n">
        <x:f>IF(P91="Lidl",K91,IF(P91="Super U",L91,IF(P91="Carrefour",M91,IF(P91="Auchan",N91,O91))))</x:f>
        <x:v>5.300000000000001</x:v>
      </x:c>
      <x:c r="R91" s="57" t="n">
        <x:f>Q91/'Hypothèses &amp; sources'!$B$4</x:f>
        <x:v>1.3250000000000002</x:v>
      </x:c>
      <x:c r="S91" s="56" t="n">
        <x:f>MAX(0,'Hypothèses &amp; sources'!$B$5*MAX(0,MIN(100,'Hypothèses &amp; sources'!$B$10-R91*'Hypothèses &amp; sources'!$B$9))+'Hypothèses &amp; sources'!$B$6*(G91/5*100)+'Hypothèses &amp; sources'!$B$7*(H91/5*100)+'Hypothèses &amp; sources'!$B$8*MAX(0,MIN(100,'Hypothèses &amp; sources'!$B$12-E91*'Hypothèses &amp; sources'!$B$11))-T91)</x:f>
        <x:v>85.20200000000001</x:v>
      </x:c>
      <x:c r="T91" s="33" t="n">
        <x:v>0</x:v>
      </x:c>
    </x:row>
    <x:row r="92">
      <x:c r="A92" s="33" t="n">
        <x:v>88</x:v>
      </x:c>
      <x:c r="B92" s="38" t="str">
        <x:v>Green beans and potatoes</x:v>
      </x:c>
      <x:c r="C92" s="38" t="str">
        <x:v>Plat complet</x:v>
      </x:c>
      <x:c r="D92" s="38" t="str">
        <x:v>pommes de terre, légumineuses, haricots verts</x:v>
      </x:c>
      <x:c r="E92" s="33" t="n">
        <x:v>20</x:v>
      </x:c>
      <x:c r="F92" s="33" t="n">
        <x:v>40</x:v>
      </x:c>
      <x:c r="G92" s="56" t="n">
        <x:v>4.5</x:v>
      </x:c>
      <x:c r="H92" s="56" t="n">
        <x:v>3.6</x:v>
      </x:c>
      <x:c r="I92" s="33" t="n">
        <x:v>0</x:v>
      </x:c>
      <x:c r="J92" s="57" t="n">
        <x:v>6.1</x:v>
      </x:c>
      <x:c r="K92" s="57" t="n">
        <x:f>J92*'Hypothèses &amp; sources'!$E$4</x:f>
        <x:v>6.1</x:v>
      </x:c>
      <x:c r="L92" s="57" t="n">
        <x:f>J92*'Hypothèses &amp; sources'!$F$4</x:f>
        <x:v>6.466</x:v>
      </x:c>
      <x:c r="M92" s="57" t="n">
        <x:f>J92*'Hypothèses &amp; sources'!$G$4</x:f>
        <x:v>6.71</x:v>
      </x:c>
      <x:c r="N92" s="57" t="n">
        <x:f>J92*'Hypothèses &amp; sources'!$H$4</x:f>
        <x:v>6.771</x:v>
      </x:c>
      <x:c r="O92" s="57" t="n">
        <x:f>J92*'Hypothèses &amp; sources'!$I$4</x:f>
        <x:v>7.563999999999999</x:v>
      </x:c>
      <x:c r="P92" s="57" t="str">
        <x:v>Lidl</x:v>
      </x:c>
      <x:c r="Q92" s="57" t="n">
        <x:f>IF(P92="Lidl",K92,IF(P92="Super U",L92,IF(P92="Carrefour",M92,IF(P92="Auchan",N92,O92))))</x:f>
        <x:v>6.1</x:v>
      </x:c>
      <x:c r="R92" s="57" t="n">
        <x:f>Q92/'Hypothèses &amp; sources'!$B$4</x:f>
        <x:v>1.525</x:v>
      </x:c>
      <x:c r="S92" s="56" t="n">
        <x:f>MAX(0,'Hypothèses &amp; sources'!$B$5*MAX(0,MIN(100,'Hypothèses &amp; sources'!$B$10-R92*'Hypothèses &amp; sources'!$B$9))+'Hypothèses &amp; sources'!$B$6*(G92/5*100)+'Hypothèses &amp; sources'!$B$7*(H92/5*100)+'Hypothèses &amp; sources'!$B$8*MAX(0,MIN(100,'Hypothèses &amp; sources'!$B$12-E92*'Hypothèses &amp; sources'!$B$11))-T92)</x:f>
        <x:v>84.59400000000001</x:v>
      </x:c>
      <x:c r="T92" s="33" t="n">
        <x:v>0</x:v>
      </x:c>
    </x:row>
    <x:row r="93">
      <x:c r="A93" s="33" t="n">
        <x:v>89</x:v>
      </x:c>
      <x:c r="B93" s="38" t="str">
        <x:v>Makai nu shaak/épis de mais au curry d'arrachides</x:v>
      </x:c>
      <x:c r="C93" s="38" t="str">
        <x:v>Curry / végétarien</x:v>
      </x:c>
      <x:c r="D93" s="38" t="str">
        <x:v>maïs, cacahuètes, tomate, oignon, épices</x:v>
      </x:c>
      <x:c r="E93" s="33" t="n">
        <x:v>20</x:v>
      </x:c>
      <x:c r="F93" s="33" t="n">
        <x:v>40</x:v>
      </x:c>
      <x:c r="G93" s="56" t="n">
        <x:v>4</x:v>
      </x:c>
      <x:c r="H93" s="56" t="n">
        <x:v>4</x:v>
      </x:c>
      <x:c r="I93" s="33" t="n">
        <x:v>1</x:v>
      </x:c>
      <x:c r="J93" s="57" t="n">
        <x:v>6.5</x:v>
      </x:c>
      <x:c r="K93" s="57" t="n">
        <x:f>J93*'Hypothèses &amp; sources'!$E$4</x:f>
        <x:v>6.5</x:v>
      </x:c>
      <x:c r="L93" s="57" t="n">
        <x:f>J93*'Hypothèses &amp; sources'!$F$4</x:f>
        <x:v>6.890000000000001</x:v>
      </x:c>
      <x:c r="M93" s="57" t="n">
        <x:f>J93*'Hypothèses &amp; sources'!$G$4</x:f>
        <x:v>7.15</x:v>
      </x:c>
      <x:c r="N93" s="57" t="n">
        <x:f>J93*'Hypothèses &amp; sources'!$H$4</x:f>
        <x:v>7.215000000000001</x:v>
      </x:c>
      <x:c r="O93" s="57" t="n">
        <x:f>J93*'Hypothèses &amp; sources'!$I$4</x:f>
        <x:v>8.06</x:v>
      </x:c>
      <x:c r="P93" s="57" t="str">
        <x:v>Super U</x:v>
      </x:c>
      <x:c r="Q93" s="57" t="n">
        <x:f>IF(P93="Lidl",K93,IF(P93="Super U",L93,IF(P93="Carrefour",M93,IF(P93="Auchan",N93,O93))))</x:f>
        <x:v>6.890000000000001</x:v>
      </x:c>
      <x:c r="R93" s="57" t="n">
        <x:f>Q93/'Hypothèses &amp; sources'!$B$4</x:f>
        <x:v>1.7225000000000001</x:v>
      </x:c>
      <x:c r="S93" s="56" t="n">
        <x:f>MAX(0,'Hypothèses &amp; sources'!$B$5*MAX(0,MIN(100,'Hypothèses &amp; sources'!$B$10-R93*'Hypothèses &amp; sources'!$B$9))+'Hypothèses &amp; sources'!$B$6*(G93/5*100)+'Hypothèses &amp; sources'!$B$7*(H93/5*100)+'Hypothèses &amp; sources'!$B$8*MAX(0,MIN(100,'Hypothèses &amp; sources'!$B$12-E93*'Hypothèses &amp; sources'!$B$11))-T93)</x:f>
        <x:v>82.2386</x:v>
      </x:c>
      <x:c r="T93" s="33" t="n">
        <x:v>0</x:v>
      </x:c>
    </x:row>
    <x:row r="94">
      <x:c r="A94" s="33" t="n">
        <x:v>90</x:v>
      </x:c>
      <x:c r="B94" s="38" t="str">
        <x:v>Sopa de tortilla/tortilla soup</x:v>
      </x:c>
      <x:c r="C94" s="38" t="str">
        <x:v>Soupe / végétarien</x:v>
      </x:c>
      <x:c r="D94" s="38" t="str">
        <x:v>tomates, bouillon, tortillas, haricots, maïs, avocat</x:v>
      </x:c>
      <x:c r="E94" s="33" t="n">
        <x:v>20</x:v>
      </x:c>
      <x:c r="F94" s="33" t="n">
        <x:v>40</x:v>
      </x:c>
      <x:c r="G94" s="56" t="n">
        <x:v>4</x:v>
      </x:c>
      <x:c r="H94" s="56" t="n">
        <x:v>4.5</x:v>
      </x:c>
      <x:c r="I94" s="33" t="n">
        <x:v>1</x:v>
      </x:c>
      <x:c r="J94" s="57" t="n">
        <x:v>7</x:v>
      </x:c>
      <x:c r="K94" s="57" t="n">
        <x:f>J94*'Hypothèses &amp; sources'!$E$4</x:f>
        <x:v>7</x:v>
      </x:c>
      <x:c r="L94" s="57" t="n">
        <x:f>J94*'Hypothèses &amp; sources'!$F$4</x:f>
        <x:v>7.42</x:v>
      </x:c>
      <x:c r="M94" s="57" t="n">
        <x:f>J94*'Hypothèses &amp; sources'!$G$4</x:f>
        <x:v>7.700000000000001</x:v>
      </x:c>
      <x:c r="N94" s="57" t="n">
        <x:f>J94*'Hypothèses &amp; sources'!$H$4</x:f>
        <x:v>7.7700000000000005</x:v>
      </x:c>
      <x:c r="O94" s="57" t="n">
        <x:f>J94*'Hypothèses &amp; sources'!$I$4</x:f>
        <x:v>8.68</x:v>
      </x:c>
      <x:c r="P94" s="57" t="str">
        <x:v>Super U</x:v>
      </x:c>
      <x:c r="Q94" s="57" t="n">
        <x:f>IF(P94="Lidl",K94,IF(P94="Super U",L94,IF(P94="Carrefour",M94,IF(P94="Auchan",N94,O94))))</x:f>
        <x:v>7.42</x:v>
      </x:c>
      <x:c r="R94" s="57" t="n">
        <x:f>Q94/'Hypothèses &amp; sources'!$B$4</x:f>
        <x:v>1.855</x:v>
      </x:c>
      <x:c r="S94" s="56" t="n">
        <x:f>MAX(0,'Hypothèses &amp; sources'!$B$5*MAX(0,MIN(100,'Hypothèses &amp; sources'!$B$10-R94*'Hypothèses &amp; sources'!$B$9))+'Hypothèses &amp; sources'!$B$6*(G94/5*100)+'Hypothèses &amp; sources'!$B$7*(H94/5*100)+'Hypothèses &amp; sources'!$B$8*MAX(0,MIN(100,'Hypothèses &amp; sources'!$B$12-E94*'Hypothèses &amp; sources'!$B$11))-T94)</x:f>
        <x:v>83.3708</x:v>
      </x:c>
      <x:c r="T94" s="33" t="n">
        <x:v>0</x:v>
      </x:c>
    </x:row>
    <x:row r="95">
      <x:c r="A95" s="33" t="n">
        <x:v>91</x:v>
      </x:c>
      <x:c r="B95" s="38" t="str">
        <x:v>Butternut squash risotto</x:v>
      </x:c>
      <x:c r="C95" s="38" t="str">
        <x:v>Riz / végétarien</x:v>
      </x:c>
      <x:c r="D95" s="38" t="str">
        <x:v>riz arborio, butternut, bouillon, parmesan, oignon</x:v>
      </x:c>
      <x:c r="E95" s="33" t="n">
        <x:v>20</x:v>
      </x:c>
      <x:c r="F95" s="33" t="n">
        <x:v>40</x:v>
      </x:c>
      <x:c r="G95" s="56" t="n">
        <x:v>4.2</x:v>
      </x:c>
      <x:c r="H95" s="56" t="n">
        <x:v>3.8</x:v>
      </x:c>
      <x:c r="I95" s="33" t="n">
        <x:v>0</x:v>
      </x:c>
      <x:c r="J95" s="57" t="n">
        <x:v>7.5</x:v>
      </x:c>
      <x:c r="K95" s="57" t="n">
        <x:f>J95*'Hypothèses &amp; sources'!$E$4</x:f>
        <x:v>7.5</x:v>
      </x:c>
      <x:c r="L95" s="57" t="n">
        <x:f>J95*'Hypothèses &amp; sources'!$F$4</x:f>
        <x:v>7.95</x:v>
      </x:c>
      <x:c r="M95" s="57" t="n">
        <x:f>J95*'Hypothèses &amp; sources'!$G$4</x:f>
        <x:v>8.25</x:v>
      </x:c>
      <x:c r="N95" s="57" t="n">
        <x:f>J95*'Hypothèses &amp; sources'!$H$4</x:f>
        <x:v>8.325000000000001</x:v>
      </x:c>
      <x:c r="O95" s="57" t="n">
        <x:f>J95*'Hypothèses &amp; sources'!$I$4</x:f>
        <x:v>9.3</x:v>
      </x:c>
      <x:c r="P95" s="57" t="str">
        <x:v>Lidl</x:v>
      </x:c>
      <x:c r="Q95" s="57" t="n">
        <x:f>IF(P95="Lidl",K95,IF(P95="Super U",L95,IF(P95="Carrefour",M95,IF(P95="Auchan",N95,O95))))</x:f>
        <x:v>7.5</x:v>
      </x:c>
      <x:c r="R95" s="57" t="n">
        <x:f>Q95/'Hypothèses &amp; sources'!$B$4</x:f>
        <x:v>1.875</x:v>
      </x:c>
      <x:c r="S95" s="56" t="n">
        <x:f>MAX(0,'Hypothèses &amp; sources'!$B$5*MAX(0,MIN(100,'Hypothèses &amp; sources'!$B$10-R95*'Hypothèses &amp; sources'!$B$9))+'Hypothèses &amp; sources'!$B$6*(G95/5*100)+'Hypothèses &amp; sources'!$B$7*(H95/5*100)+'Hypothèses &amp; sources'!$B$8*MAX(0,MIN(100,'Hypothèses &amp; sources'!$B$12-E95*'Hypothèses &amp; sources'!$B$11))-T95)</x:f>
        <x:v>81.87000000000002</x:v>
      </x:c>
      <x:c r="T95" s="33" t="n">
        <x:v>0</x:v>
      </x:c>
    </x:row>
    <x:row r="96">
      <x:c r="A96" s="33" t="n">
        <x:v>92</x:v>
      </x:c>
      <x:c r="B96" s="38" t="str">
        <x:v>Poitrine de dinde au paprika</x:v>
      </x:c>
      <x:c r="C96" s="38" t="str">
        <x:v>Plat complet</x:v>
      </x:c>
      <x:c r="D96" s="38" t="str">
        <x:v>dinde</x:v>
      </x:c>
      <x:c r="E96" s="33" t="n">
        <x:v>20</x:v>
      </x:c>
      <x:c r="F96" s="33" t="n">
        <x:v>40</x:v>
      </x:c>
      <x:c r="G96" s="56" t="n">
        <x:v>3.9</x:v>
      </x:c>
      <x:c r="H96" s="56" t="n">
        <x:v>3.5</x:v>
      </x:c>
      <x:c r="I96" s="33" t="n">
        <x:v>0</x:v>
      </x:c>
      <x:c r="J96" s="57" t="n">
        <x:v>7.7</x:v>
      </x:c>
      <x:c r="K96" s="57" t="n">
        <x:f>J96*'Hypothèses &amp; sources'!$E$4</x:f>
        <x:v>7.7</x:v>
      </x:c>
      <x:c r="L96" s="57" t="n">
        <x:f>J96*'Hypothèses &amp; sources'!$F$4</x:f>
        <x:v>8.162</x:v>
      </x:c>
      <x:c r="M96" s="57" t="n">
        <x:f>J96*'Hypothèses &amp; sources'!$G$4</x:f>
        <x:v>8.47</x:v>
      </x:c>
      <x:c r="N96" s="57" t="n">
        <x:f>J96*'Hypothèses &amp; sources'!$H$4</x:f>
        <x:v>8.547</x:v>
      </x:c>
      <x:c r="O96" s="57" t="n">
        <x:f>J96*'Hypothèses &amp; sources'!$I$4</x:f>
        <x:v>9.548</x:v>
      </x:c>
      <x:c r="P96" s="57" t="str">
        <x:v>Lidl</x:v>
      </x:c>
      <x:c r="Q96" s="57" t="n">
        <x:f>IF(P96="Lidl",K96,IF(P96="Super U",L96,IF(P96="Carrefour",M96,IF(P96="Auchan",N96,O96))))</x:f>
        <x:v>7.7</x:v>
      </x:c>
      <x:c r="R96" s="57" t="n">
        <x:f>Q96/'Hypothèses &amp; sources'!$B$4</x:f>
        <x:v>1.925</x:v>
      </x:c>
      <x:c r="S96" s="56" t="n">
        <x:f>MAX(0,'Hypothèses &amp; sources'!$B$5*MAX(0,MIN(100,'Hypothèses &amp; sources'!$B$10-R96*'Hypothèses &amp; sources'!$B$9))+'Hypothèses &amp; sources'!$B$6*(G96/5*100)+'Hypothèses &amp; sources'!$B$7*(H96/5*100)+'Hypothèses &amp; sources'!$B$8*MAX(0,MIN(100,'Hypothèses &amp; sources'!$B$12-E96*'Hypothèses &amp; sources'!$B$11))-T96)</x:f>
        <x:v>78.858</x:v>
      </x:c>
      <x:c r="T96" s="33" t="n">
        <x:v>0</x:v>
      </x:c>
    </x:row>
    <x:row r="97">
      <x:c r="A97" s="33" t="n">
        <x:v>93</x:v>
      </x:c>
      <x:c r="B97" s="38" t="str">
        <x:v>Mushroom spinach risotto</x:v>
      </x:c>
      <x:c r="C97" s="38" t="str">
        <x:v>Riz / végétarien</x:v>
      </x:c>
      <x:c r="D97" s="38" t="str">
        <x:v>riz arborio, champignons, épinards, bouillon, parmesan, oignon</x:v>
      </x:c>
      <x:c r="E97" s="33" t="n">
        <x:v>20</x:v>
      </x:c>
      <x:c r="F97" s="33" t="n">
        <x:v>40</x:v>
      </x:c>
      <x:c r="G97" s="56" t="n">
        <x:v>4.2</x:v>
      </x:c>
      <x:c r="H97" s="56" t="n">
        <x:v>4.2</x:v>
      </x:c>
      <x:c r="I97" s="33" t="n">
        <x:v>0</x:v>
      </x:c>
      <x:c r="J97" s="57" t="n">
        <x:v>8</x:v>
      </x:c>
      <x:c r="K97" s="57" t="n">
        <x:f>J97*'Hypothèses &amp; sources'!$E$4</x:f>
        <x:v>8</x:v>
      </x:c>
      <x:c r="L97" s="57" t="n">
        <x:f>J97*'Hypothèses &amp; sources'!$F$4</x:f>
        <x:v>8.48</x:v>
      </x:c>
      <x:c r="M97" s="57" t="n">
        <x:f>J97*'Hypothèses &amp; sources'!$G$4</x:f>
        <x:v>8.8</x:v>
      </x:c>
      <x:c r="N97" s="57" t="n">
        <x:f>J97*'Hypothèses &amp; sources'!$H$4</x:f>
        <x:v>8.88</x:v>
      </x:c>
      <x:c r="O97" s="57" t="n">
        <x:f>J97*'Hypothèses &amp; sources'!$I$4</x:f>
        <x:v>9.92</x:v>
      </x:c>
      <x:c r="P97" s="57" t="str">
        <x:v>Lidl</x:v>
      </x:c>
      <x:c r="Q97" s="57" t="n">
        <x:f>IF(P97="Lidl",K97,IF(P97="Super U",L97,IF(P97="Carrefour",M97,IF(P97="Auchan",N97,O97))))</x:f>
        <x:v>8</x:v>
      </x:c>
      <x:c r="R97" s="57" t="n">
        <x:f>Q97/'Hypothèses &amp; sources'!$B$4</x:f>
        <x:v>2</x:v>
      </x:c>
      <x:c r="S97" s="56" t="n">
        <x:f>MAX(0,'Hypothèses &amp; sources'!$B$5*MAX(0,MIN(100,'Hypothèses &amp; sources'!$B$10-R97*'Hypothèses &amp; sources'!$B$9))+'Hypothèses &amp; sources'!$B$6*(G97/5*100)+'Hypothèses &amp; sources'!$B$7*(H97/5*100)+'Hypothèses &amp; sources'!$B$8*MAX(0,MIN(100,'Hypothèses &amp; sources'!$B$12-E97*'Hypothèses &amp; sources'!$B$11))-T97)</x:f>
        <x:v>82.68</x:v>
      </x:c>
      <x:c r="T97" s="33" t="n">
        <x:v>0</x:v>
      </x:c>
    </x:row>
    <x:row r="98">
      <x:c r="A98" s="33" t="n">
        <x:v>94</x:v>
      </x:c>
      <x:c r="B98" s="38" t="str">
        <x:v>Carnitas</x:v>
      </x:c>
      <x:c r="C98" s="38" t="str">
        <x:v>Plat complet</x:v>
      </x:c>
      <x:c r="D98" s="38" t="str">
        <x:v>porc</x:v>
      </x:c>
      <x:c r="E98" s="33" t="n">
        <x:v>20</x:v>
      </x:c>
      <x:c r="F98" s="33" t="n">
        <x:v>40</x:v>
      </x:c>
      <x:c r="G98" s="56" t="n">
        <x:v>3.9</x:v>
      </x:c>
      <x:c r="H98" s="56" t="n">
        <x:v>3.1</x:v>
      </x:c>
      <x:c r="I98" s="33" t="n">
        <x:v>0</x:v>
      </x:c>
      <x:c r="J98" s="57" t="n">
        <x:v>8.1</x:v>
      </x:c>
      <x:c r="K98" s="57" t="n">
        <x:f>J98*'Hypothèses &amp; sources'!$E$4</x:f>
        <x:v>8.1</x:v>
      </x:c>
      <x:c r="L98" s="57" t="n">
        <x:f>J98*'Hypothèses &amp; sources'!$F$4</x:f>
        <x:v>8.586</x:v>
      </x:c>
      <x:c r="M98" s="57" t="n">
        <x:f>J98*'Hypothèses &amp; sources'!$G$4</x:f>
        <x:v>8.91</x:v>
      </x:c>
      <x:c r="N98" s="57" t="n">
        <x:f>J98*'Hypothèses &amp; sources'!$H$4</x:f>
        <x:v>8.991</x:v>
      </x:c>
      <x:c r="O98" s="57" t="n">
        <x:f>J98*'Hypothèses &amp; sources'!$I$4</x:f>
        <x:v>10.043999999999999</x:v>
      </x:c>
      <x:c r="P98" s="57" t="str">
        <x:v>Lidl</x:v>
      </x:c>
      <x:c r="Q98" s="57" t="n">
        <x:f>IF(P98="Lidl",K98,IF(P98="Super U",L98,IF(P98="Carrefour",M98,IF(P98="Auchan",N98,O98))))</x:f>
        <x:v>8.1</x:v>
      </x:c>
      <x:c r="R98" s="57" t="n">
        <x:f>Q98/'Hypothèses &amp; sources'!$B$4</x:f>
        <x:v>2.025</x:v>
      </x:c>
      <x:c r="S98" s="56" t="n">
        <x:f>MAX(0,'Hypothèses &amp; sources'!$B$5*MAX(0,MIN(100,'Hypothèses &amp; sources'!$B$10-R98*'Hypothèses &amp; sources'!$B$9))+'Hypothèses &amp; sources'!$B$6*(G98/5*100)+'Hypothèses &amp; sources'!$B$7*(H98/5*100)+'Hypothèses &amp; sources'!$B$8*MAX(0,MIN(100,'Hypothèses &amp; sources'!$B$12-E98*'Hypothèses &amp; sources'!$B$11))-T98)</x:f>
        <x:v>76.914</x:v>
      </x:c>
      <x:c r="T98" s="33" t="n">
        <x:v>0</x:v>
      </x:c>
    </x:row>
    <x:row r="99">
      <x:c r="A99" s="33" t="n">
        <x:v>95</x:v>
      </x:c>
      <x:c r="B99" s="38" t="str">
        <x:v>Thai chicken fried rice</x:v>
      </x:c>
      <x:c r="C99" s="38" t="str">
        <x:v>Plat complet</x:v>
      </x:c>
      <x:c r="D99" s="38" t="str">
        <x:v>riz, poulet</x:v>
      </x:c>
      <x:c r="E99" s="33" t="n">
        <x:v>20</x:v>
      </x:c>
      <x:c r="F99" s="33" t="n">
        <x:v>40</x:v>
      </x:c>
      <x:c r="G99" s="56" t="n">
        <x:v>4.3</x:v>
      </x:c>
      <x:c r="H99" s="56" t="n">
        <x:v>3.5</x:v>
      </x:c>
      <x:c r="I99" s="33" t="n">
        <x:v>0</x:v>
      </x:c>
      <x:c r="J99" s="57" t="n">
        <x:v>8.2</x:v>
      </x:c>
      <x:c r="K99" s="57" t="n">
        <x:f>J99*'Hypothèses &amp; sources'!$E$4</x:f>
        <x:v>8.2</x:v>
      </x:c>
      <x:c r="L99" s="57" t="n">
        <x:f>J99*'Hypothèses &amp; sources'!$F$4</x:f>
        <x:v>8.692</x:v>
      </x:c>
      <x:c r="M99" s="57" t="n">
        <x:f>J99*'Hypothèses &amp; sources'!$G$4</x:f>
        <x:v>9.02</x:v>
      </x:c>
      <x:c r="N99" s="57" t="n">
        <x:f>J99*'Hypothèses &amp; sources'!$H$4</x:f>
        <x:v>9.102</x:v>
      </x:c>
      <x:c r="O99" s="57" t="n">
        <x:f>J99*'Hypothèses &amp; sources'!$I$4</x:f>
        <x:v>10.168</x:v>
      </x:c>
      <x:c r="P99" s="57" t="str">
        <x:v>Lidl</x:v>
      </x:c>
      <x:c r="Q99" s="57" t="n">
        <x:f>IF(P99="Lidl",K99,IF(P99="Super U",L99,IF(P99="Carrefour",M99,IF(P99="Auchan",N99,O99))))</x:f>
        <x:v>8.2</x:v>
      </x:c>
      <x:c r="R99" s="57" t="n">
        <x:f>Q99/'Hypothèses &amp; sources'!$B$4</x:f>
        <x:v>2.05</x:v>
      </x:c>
      <x:c r="S99" s="56" t="n">
        <x:f>MAX(0,'Hypothèses &amp; sources'!$B$5*MAX(0,MIN(100,'Hypothèses &amp; sources'!$B$10-R99*'Hypothèses &amp; sources'!$B$9))+'Hypothèses &amp; sources'!$B$6*(G99/5*100)+'Hypothèses &amp; sources'!$B$7*(H99/5*100)+'Hypothèses &amp; sources'!$B$8*MAX(0,MIN(100,'Hypothèses &amp; sources'!$B$12-E99*'Hypothèses &amp; sources'!$B$11))-T99)</x:f>
        <x:v>80.468</x:v>
      </x:c>
      <x:c r="T99" s="33" t="n">
        <x:v>0</x:v>
      </x:c>
    </x:row>
    <x:row r="100">
      <x:c r="A100" s="33" t="n">
        <x:v>96</x:v>
      </x:c>
      <x:c r="B100" s="38" t="str">
        <x:v>Kielbasa and rice</x:v>
      </x:c>
      <x:c r="C100" s="38" t="str">
        <x:v>Plat complet</x:v>
      </x:c>
      <x:c r="D100" s="38" t="str">
        <x:v>riz, charcuterie / saucisse</x:v>
      </x:c>
      <x:c r="E100" s="33" t="n">
        <x:v>20</x:v>
      </x:c>
      <x:c r="F100" s="33" t="n">
        <x:v>40</x:v>
      </x:c>
      <x:c r="G100" s="56" t="n">
        <x:v>4.3</x:v>
      </x:c>
      <x:c r="H100" s="56" t="n">
        <x:v>2.7</x:v>
      </x:c>
      <x:c r="I100" s="33" t="n">
        <x:v>0</x:v>
      </x:c>
      <x:c r="J100" s="57" t="n">
        <x:v>8.3</x:v>
      </x:c>
      <x:c r="K100" s="57" t="n">
        <x:f>J100*'Hypothèses &amp; sources'!$E$4</x:f>
        <x:v>8.3</x:v>
      </x:c>
      <x:c r="L100" s="57" t="n">
        <x:f>J100*'Hypothèses &amp; sources'!$F$4</x:f>
        <x:v>8.798000000000002</x:v>
      </x:c>
      <x:c r="M100" s="57" t="n">
        <x:f>J100*'Hypothèses &amp; sources'!$G$4</x:f>
        <x:v>9.13</x:v>
      </x:c>
      <x:c r="N100" s="57" t="n">
        <x:f>J100*'Hypothèses &amp; sources'!$H$4</x:f>
        <x:v>9.213000000000001</x:v>
      </x:c>
      <x:c r="O100" s="57" t="n">
        <x:f>J100*'Hypothèses &amp; sources'!$I$4</x:f>
        <x:v>10.292000000000002</x:v>
      </x:c>
      <x:c r="P100" s="57" t="str">
        <x:v>Lidl</x:v>
      </x:c>
      <x:c r="Q100" s="57" t="n">
        <x:f>IF(P100="Lidl",K100,IF(P100="Super U",L100,IF(P100="Carrefour",M100,IF(P100="Auchan",N100,O100))))</x:f>
        <x:v>8.3</x:v>
      </x:c>
      <x:c r="R100" s="57" t="n">
        <x:f>Q100/'Hypothèses &amp; sources'!$B$4</x:f>
        <x:v>2.075</x:v>
      </x:c>
      <x:c r="S100" s="56" t="n">
        <x:f>MAX(0,'Hypothèses &amp; sources'!$B$5*MAX(0,MIN(100,'Hypothèses &amp; sources'!$B$10-R100*'Hypothèses &amp; sources'!$B$9))+'Hypothèses &amp; sources'!$B$6*(G100/5*100)+'Hypothèses &amp; sources'!$B$7*(H100/5*100)+'Hypothèses &amp; sources'!$B$8*MAX(0,MIN(100,'Hypothèses &amp; sources'!$B$12-E100*'Hypothèses &amp; sources'!$B$11))-T100)</x:f>
        <x:v>77.462</x:v>
      </x:c>
      <x:c r="T100" s="33" t="n">
        <x:v>0</x:v>
      </x:c>
    </x:row>
    <x:row r="101">
      <x:c r="A101" s="33" t="n">
        <x:v>97</x:v>
      </x:c>
      <x:c r="B101" s="38" t="str">
        <x:v>Tuscan chicken pasta</x:v>
      </x:c>
      <x:c r="C101" s="38" t="str">
        <x:v>Plat complet</x:v>
      </x:c>
      <x:c r="D101" s="38" t="str">
        <x:v>pâtes / nouilles, poulet</x:v>
      </x:c>
      <x:c r="E101" s="33" t="n">
        <x:v>20</x:v>
      </x:c>
      <x:c r="F101" s="33" t="n">
        <x:v>40</x:v>
      </x:c>
      <x:c r="G101" s="56" t="n">
        <x:v>4.2</x:v>
      </x:c>
      <x:c r="H101" s="56" t="n">
        <x:v>3.5</x:v>
      </x:c>
      <x:c r="I101" s="33" t="n">
        <x:v>0</x:v>
      </x:c>
      <x:c r="J101" s="57" t="n">
        <x:v>8.4</x:v>
      </x:c>
      <x:c r="K101" s="57" t="n">
        <x:f>J101*'Hypothèses &amp; sources'!$E$4</x:f>
        <x:v>8.4</x:v>
      </x:c>
      <x:c r="L101" s="57" t="n">
        <x:f>J101*'Hypothèses &amp; sources'!$F$4</x:f>
        <x:v>8.904000000000002</x:v>
      </x:c>
      <x:c r="M101" s="57" t="n">
        <x:f>J101*'Hypothèses &amp; sources'!$G$4</x:f>
        <x:v>9.240000000000002</x:v>
      </x:c>
      <x:c r="N101" s="57" t="n">
        <x:f>J101*'Hypothèses &amp; sources'!$H$4</x:f>
        <x:v>9.324000000000002</x:v>
      </x:c>
      <x:c r="O101" s="57" t="n">
        <x:f>J101*'Hypothèses &amp; sources'!$I$4</x:f>
        <x:v>10.416</x:v>
      </x:c>
      <x:c r="P101" s="57" t="str">
        <x:v>Lidl</x:v>
      </x:c>
      <x:c r="Q101" s="57" t="n">
        <x:f>IF(P101="Lidl",K101,IF(P101="Super U",L101,IF(P101="Carrefour",M101,IF(P101="Auchan",N101,O101))))</x:f>
        <x:v>8.4</x:v>
      </x:c>
      <x:c r="R101" s="57" t="n">
        <x:f>Q101/'Hypothèses &amp; sources'!$B$4</x:f>
        <x:v>2.1</x:v>
      </x:c>
      <x:c r="S101" s="56" t="n">
        <x:f>MAX(0,'Hypothèses &amp; sources'!$B$5*MAX(0,MIN(100,'Hypothèses &amp; sources'!$B$10-R101*'Hypothèses &amp; sources'!$B$9))+'Hypothèses &amp; sources'!$B$6*(G101/5*100)+'Hypothèses &amp; sources'!$B$7*(H101/5*100)+'Hypothèses &amp; sources'!$B$8*MAX(0,MIN(100,'Hypothèses &amp; sources'!$B$12-E101*'Hypothèses &amp; sources'!$B$11))-T101)</x:f>
        <x:v>79.656</x:v>
      </x:c>
      <x:c r="T101" s="33" t="n">
        <x:v>0</x:v>
      </x:c>
    </x:row>
    <x:row r="102">
      <x:c r="A102" s="33" t="n">
        <x:v>98</x:v>
      </x:c>
      <x:c r="B102" s="38" t="str">
        <x:v>Chili lime chicken</x:v>
      </x:c>
      <x:c r="C102" s="38" t="str">
        <x:v>Plat complet</x:v>
      </x:c>
      <x:c r="D102" s="38" t="str">
        <x:v>piment / chili, citron vert, poulet</x:v>
      </x:c>
      <x:c r="E102" s="33" t="n">
        <x:v>20</x:v>
      </x:c>
      <x:c r="F102" s="33" t="n">
        <x:v>40</x:v>
      </x:c>
      <x:c r="G102" s="56" t="n">
        <x:v>3.9</x:v>
      </x:c>
      <x:c r="H102" s="56" t="n">
        <x:v>3.5</x:v>
      </x:c>
      <x:c r="I102" s="33" t="n">
        <x:v>0</x:v>
      </x:c>
      <x:c r="J102" s="57" t="n">
        <x:v>8.5</x:v>
      </x:c>
      <x:c r="K102" s="57" t="n">
        <x:f>J102*'Hypothèses &amp; sources'!$E$4</x:f>
        <x:v>8.5</x:v>
      </x:c>
      <x:c r="L102" s="57" t="n">
        <x:f>J102*'Hypothèses &amp; sources'!$F$4</x:f>
        <x:v>9.01</x:v>
      </x:c>
      <x:c r="M102" s="57" t="n">
        <x:f>J102*'Hypothèses &amp; sources'!$G$4</x:f>
        <x:v>9.350000000000001</x:v>
      </x:c>
      <x:c r="N102" s="57" t="n">
        <x:f>J102*'Hypothèses &amp; sources'!$H$4</x:f>
        <x:v>9.435</x:v>
      </x:c>
      <x:c r="O102" s="57" t="n">
        <x:f>J102*'Hypothèses &amp; sources'!$I$4</x:f>
        <x:v>10.54</x:v>
      </x:c>
      <x:c r="P102" s="57" t="str">
        <x:v>Lidl</x:v>
      </x:c>
      <x:c r="Q102" s="57" t="n">
        <x:f>IF(P102="Lidl",K102,IF(P102="Super U",L102,IF(P102="Carrefour",M102,IF(P102="Auchan",N102,O102))))</x:f>
        <x:v>8.5</x:v>
      </x:c>
      <x:c r="R102" s="57" t="n">
        <x:f>Q102/'Hypothèses &amp; sources'!$B$4</x:f>
        <x:v>2.125</x:v>
      </x:c>
      <x:c r="S102" s="56" t="n">
        <x:f>MAX(0,'Hypothèses &amp; sources'!$B$5*MAX(0,MIN(100,'Hypothèses &amp; sources'!$B$10-R102*'Hypothèses &amp; sources'!$B$9))+'Hypothèses &amp; sources'!$B$6*(G102/5*100)+'Hypothèses &amp; sources'!$B$7*(H102/5*100)+'Hypothèses &amp; sources'!$B$8*MAX(0,MIN(100,'Hypothèses &amp; sources'!$B$12-E102*'Hypothèses &amp; sources'!$B$11))-T102)</x:f>
        <x:v>77.85000000000001</x:v>
      </x:c>
      <x:c r="T102" s="33" t="n">
        <x:v>0</x:v>
      </x:c>
    </x:row>
    <x:row r="103">
      <x:c r="A103" s="33" t="n">
        <x:v>99</x:v>
      </x:c>
      <x:c r="B103" s="38" t="str">
        <x:v>Cilantro lime chicken</x:v>
      </x:c>
      <x:c r="C103" s="38" t="str">
        <x:v>Plat complet</x:v>
      </x:c>
      <x:c r="D103" s="38" t="str">
        <x:v>citron vert, coriandre, poulet</x:v>
      </x:c>
      <x:c r="E103" s="33" t="n">
        <x:v>20</x:v>
      </x:c>
      <x:c r="F103" s="33" t="n">
        <x:v>40</x:v>
      </x:c>
      <x:c r="G103" s="56" t="n">
        <x:v>3.9</x:v>
      </x:c>
      <x:c r="H103" s="56" t="n">
        <x:v>3.5</x:v>
      </x:c>
      <x:c r="I103" s="33" t="n">
        <x:v>0</x:v>
      </x:c>
      <x:c r="J103" s="57" t="n">
        <x:v>8.5</x:v>
      </x:c>
      <x:c r="K103" s="57" t="n">
        <x:f>J103*'Hypothèses &amp; sources'!$E$4</x:f>
        <x:v>8.5</x:v>
      </x:c>
      <x:c r="L103" s="57" t="n">
        <x:f>J103*'Hypothèses &amp; sources'!$F$4</x:f>
        <x:v>9.01</x:v>
      </x:c>
      <x:c r="M103" s="57" t="n">
        <x:f>J103*'Hypothèses &amp; sources'!$G$4</x:f>
        <x:v>9.350000000000001</x:v>
      </x:c>
      <x:c r="N103" s="57" t="n">
        <x:f>J103*'Hypothèses &amp; sources'!$H$4</x:f>
        <x:v>9.435</x:v>
      </x:c>
      <x:c r="O103" s="57" t="n">
        <x:f>J103*'Hypothèses &amp; sources'!$I$4</x:f>
        <x:v>10.54</x:v>
      </x:c>
      <x:c r="P103" s="57" t="str">
        <x:v>Lidl</x:v>
      </x:c>
      <x:c r="Q103" s="57" t="n">
        <x:f>IF(P103="Lidl",K103,IF(P103="Super U",L103,IF(P103="Carrefour",M103,IF(P103="Auchan",N103,O103))))</x:f>
        <x:v>8.5</x:v>
      </x:c>
      <x:c r="R103" s="57" t="n">
        <x:f>Q103/'Hypothèses &amp; sources'!$B$4</x:f>
        <x:v>2.125</x:v>
      </x:c>
      <x:c r="S103" s="56" t="n">
        <x:f>MAX(0,'Hypothèses &amp; sources'!$B$5*MAX(0,MIN(100,'Hypothèses &amp; sources'!$B$10-R103*'Hypothèses &amp; sources'!$B$9))+'Hypothèses &amp; sources'!$B$6*(G103/5*100)+'Hypothèses &amp; sources'!$B$7*(H103/5*100)+'Hypothèses &amp; sources'!$B$8*MAX(0,MIN(100,'Hypothèses &amp; sources'!$B$12-E103*'Hypothèses &amp; sources'!$B$11))-T103)</x:f>
        <x:v>77.85000000000001</x:v>
      </x:c>
      <x:c r="T103" s="33" t="n">
        <x:v>0</x:v>
      </x:c>
    </x:row>
    <x:row r="104">
      <x:c r="A104" s="33" t="n">
        <x:v>100</x:v>
      </x:c>
      <x:c r="B104" s="38" t="str">
        <x:v>Pork chile verde</x:v>
      </x:c>
      <x:c r="C104" s="38" t="str">
        <x:v>Plat complet</x:v>
      </x:c>
      <x:c r="D104" s="38" t="str">
        <x:v>piment / chili, porc</x:v>
      </x:c>
      <x:c r="E104" s="33" t="n">
        <x:v>20</x:v>
      </x:c>
      <x:c r="F104" s="33" t="n">
        <x:v>40</x:v>
      </x:c>
      <x:c r="G104" s="56" t="n">
        <x:v>3.9</x:v>
      </x:c>
      <x:c r="H104" s="56" t="n">
        <x:v>3.1</x:v>
      </x:c>
      <x:c r="I104" s="33" t="n">
        <x:v>0</x:v>
      </x:c>
      <x:c r="J104" s="57" t="n">
        <x:v>8.6</x:v>
      </x:c>
      <x:c r="K104" s="57" t="n">
        <x:f>J104*'Hypothèses &amp; sources'!$E$4</x:f>
        <x:v>8.6</x:v>
      </x:c>
      <x:c r="L104" s="57" t="n">
        <x:f>J104*'Hypothèses &amp; sources'!$F$4</x:f>
        <x:v>9.116</x:v>
      </x:c>
      <x:c r="M104" s="57" t="n">
        <x:f>J104*'Hypothèses &amp; sources'!$G$4</x:f>
        <x:v>9.46</x:v>
      </x:c>
      <x:c r="N104" s="57" t="n">
        <x:f>J104*'Hypothèses &amp; sources'!$H$4</x:f>
        <x:v>9.546000000000001</x:v>
      </x:c>
      <x:c r="O104" s="57" t="n">
        <x:f>J104*'Hypothèses &amp; sources'!$I$4</x:f>
        <x:v>10.664</x:v>
      </x:c>
      <x:c r="P104" s="57" t="str">
        <x:v>Lidl</x:v>
      </x:c>
      <x:c r="Q104" s="57" t="n">
        <x:f>IF(P104="Lidl",K104,IF(P104="Super U",L104,IF(P104="Carrefour",M104,IF(P104="Auchan",N104,O104))))</x:f>
        <x:v>8.6</x:v>
      </x:c>
      <x:c r="R104" s="57" t="n">
        <x:f>Q104/'Hypothèses &amp; sources'!$B$4</x:f>
        <x:v>2.15</x:v>
      </x:c>
      <x:c r="S104" s="56" t="n">
        <x:f>MAX(0,'Hypothèses &amp; sources'!$B$5*MAX(0,MIN(100,'Hypothèses &amp; sources'!$B$10-R104*'Hypothèses &amp; sources'!$B$9))+'Hypothèses &amp; sources'!$B$6*(G104/5*100)+'Hypothèses &amp; sources'!$B$7*(H104/5*100)+'Hypothèses &amp; sources'!$B$8*MAX(0,MIN(100,'Hypothèses &amp; sources'!$B$12-E104*'Hypothèses &amp; sources'!$B$11))-T104)</x:f>
        <x:v>76.284</x:v>
      </x:c>
      <x:c r="T104" s="33" t="n">
        <x:v>0</x:v>
      </x:c>
    </x:row>
    <x:row r="105">
      <x:c r="A105" s="33" t="n">
        <x:v>101</x:v>
      </x:c>
      <x:c r="B105" s="38" t="str">
        <x:v>Autumn apple chicken</x:v>
      </x:c>
      <x:c r="C105" s="38" t="str">
        <x:v>Plat complet</x:v>
      </x:c>
      <x:c r="D105" s="38" t="str">
        <x:v>pommes, poulet</x:v>
      </x:c>
      <x:c r="E105" s="33" t="n">
        <x:v>20</x:v>
      </x:c>
      <x:c r="F105" s="33" t="n">
        <x:v>40</x:v>
      </x:c>
      <x:c r="G105" s="56" t="n">
        <x:v>3.9</x:v>
      </x:c>
      <x:c r="H105" s="56" t="n">
        <x:v>3.5</x:v>
      </x:c>
      <x:c r="I105" s="33" t="n">
        <x:v>0</x:v>
      </x:c>
      <x:c r="J105" s="57" t="n">
        <x:v>8.8</x:v>
      </x:c>
      <x:c r="K105" s="57" t="n">
        <x:f>J105*'Hypothèses &amp; sources'!$E$4</x:f>
        <x:v>8.8</x:v>
      </x:c>
      <x:c r="L105" s="57" t="n">
        <x:f>J105*'Hypothèses &amp; sources'!$F$4</x:f>
        <x:v>9.328000000000001</x:v>
      </x:c>
      <x:c r="M105" s="57" t="n">
        <x:f>J105*'Hypothèses &amp; sources'!$G$4</x:f>
        <x:v>9.680000000000001</x:v>
      </x:c>
      <x:c r="N105" s="57" t="n">
        <x:f>J105*'Hypothèses &amp; sources'!$H$4</x:f>
        <x:v>9.768000000000002</x:v>
      </x:c>
      <x:c r="O105" s="57" t="n">
        <x:f>J105*'Hypothèses &amp; sources'!$I$4</x:f>
        <x:v>10.912</x:v>
      </x:c>
      <x:c r="P105" s="57" t="str">
        <x:v>Lidl</x:v>
      </x:c>
      <x:c r="Q105" s="57" t="n">
        <x:f>IF(P105="Lidl",K105,IF(P105="Super U",L105,IF(P105="Carrefour",M105,IF(P105="Auchan",N105,O105))))</x:f>
        <x:v>8.8</x:v>
      </x:c>
      <x:c r="R105" s="57" t="n">
        <x:f>Q105/'Hypothèses &amp; sources'!$B$4</x:f>
        <x:v>2.2</x:v>
      </x:c>
      <x:c r="S105" s="56" t="n">
        <x:f>MAX(0,'Hypothèses &amp; sources'!$B$5*MAX(0,MIN(100,'Hypothèses &amp; sources'!$B$10-R105*'Hypothèses &amp; sources'!$B$9))+'Hypothèses &amp; sources'!$B$6*(G105/5*100)+'Hypothèses &amp; sources'!$B$7*(H105/5*100)+'Hypothèses &amp; sources'!$B$8*MAX(0,MIN(100,'Hypothèses &amp; sources'!$B$12-E105*'Hypothèses &amp; sources'!$B$11))-T105)</x:f>
        <x:v>77.472</x:v>
      </x:c>
      <x:c r="T105" s="33" t="n">
        <x:v>0</x:v>
      </x:c>
    </x:row>
    <x:row r="106">
      <x:c r="A106" s="33" t="n">
        <x:v>102</x:v>
      </x:c>
      <x:c r="B106" s="38" t="str">
        <x:v>Salsa chicken</x:v>
      </x:c>
      <x:c r="C106" s="38" t="str">
        <x:v>Plat complet</x:v>
      </x:c>
      <x:c r="D106" s="38" t="str">
        <x:v>poulet, tomate, citron vert, coriandre</x:v>
      </x:c>
      <x:c r="E106" s="33" t="n">
        <x:v>20</x:v>
      </x:c>
      <x:c r="F106" s="33" t="n">
        <x:v>40</x:v>
      </x:c>
      <x:c r="G106" s="56" t="n">
        <x:v>3.9</x:v>
      </x:c>
      <x:c r="H106" s="56" t="n">
        <x:v>3.5</x:v>
      </x:c>
      <x:c r="I106" s="33" t="n">
        <x:v>0</x:v>
      </x:c>
      <x:c r="J106" s="57" t="n">
        <x:v>9.1</x:v>
      </x:c>
      <x:c r="K106" s="57" t="n">
        <x:f>J106*'Hypothèses &amp; sources'!$E$4</x:f>
        <x:v>9.1</x:v>
      </x:c>
      <x:c r="L106" s="57" t="n">
        <x:f>J106*'Hypothèses &amp; sources'!$F$4</x:f>
        <x:v>9.646</x:v>
      </x:c>
      <x:c r="M106" s="57" t="n">
        <x:f>J106*'Hypothèses &amp; sources'!$G$4</x:f>
        <x:v>10.01</x:v>
      </x:c>
      <x:c r="N106" s="57" t="n">
        <x:f>J106*'Hypothèses &amp; sources'!$H$4</x:f>
        <x:v>10.101</x:v>
      </x:c>
      <x:c r="O106" s="57" t="n">
        <x:f>J106*'Hypothèses &amp; sources'!$I$4</x:f>
        <x:v>11.283999999999999</x:v>
      </x:c>
      <x:c r="P106" s="57" t="str">
        <x:v>Lidl</x:v>
      </x:c>
      <x:c r="Q106" s="57" t="n">
        <x:f>IF(P106="Lidl",K106,IF(P106="Super U",L106,IF(P106="Carrefour",M106,IF(P106="Auchan",N106,O106))))</x:f>
        <x:v>9.1</x:v>
      </x:c>
      <x:c r="R106" s="57" t="n">
        <x:f>Q106/'Hypothèses &amp; sources'!$B$4</x:f>
        <x:v>2.275</x:v>
      </x:c>
      <x:c r="S106" s="56" t="n">
        <x:f>MAX(0,'Hypothèses &amp; sources'!$B$5*MAX(0,MIN(100,'Hypothèses &amp; sources'!$B$10-R106*'Hypothèses &amp; sources'!$B$9))+'Hypothèses &amp; sources'!$B$6*(G106/5*100)+'Hypothèses &amp; sources'!$B$7*(H106/5*100)+'Hypothèses &amp; sources'!$B$8*MAX(0,MIN(100,'Hypothèses &amp; sources'!$B$12-E106*'Hypothèses &amp; sources'!$B$11))-T106)</x:f>
        <x:v>77.09400000000001</x:v>
      </x:c>
      <x:c r="T106" s="33" t="n">
        <x:v>0</x:v>
      </x:c>
    </x:row>
    <x:row r="107">
      <x:c r="A107" s="33" t="n">
        <x:v>103</x:v>
      </x:c>
      <x:c r="B107" s="38" t="str">
        <x:v>Saucisses et poivrons</x:v>
      </x:c>
      <x:c r="C107" s="38" t="str">
        <x:v>Plat complet</x:v>
      </x:c>
      <x:c r="D107" s="38" t="str">
        <x:v>poivrons, charcuterie / saucisse</x:v>
      </x:c>
      <x:c r="E107" s="33" t="n">
        <x:v>20</x:v>
      </x:c>
      <x:c r="F107" s="33" t="n">
        <x:v>40</x:v>
      </x:c>
      <x:c r="G107" s="56" t="n">
        <x:v>3.9</x:v>
      </x:c>
      <x:c r="H107" s="56" t="n">
        <x:v>2.7</x:v>
      </x:c>
      <x:c r="I107" s="33" t="n">
        <x:v>0</x:v>
      </x:c>
      <x:c r="J107" s="57" t="n">
        <x:v>9.4</x:v>
      </x:c>
      <x:c r="K107" s="57" t="n">
        <x:f>J107*'Hypothèses &amp; sources'!$E$4</x:f>
        <x:v>9.4</x:v>
      </x:c>
      <x:c r="L107" s="57" t="n">
        <x:f>J107*'Hypothèses &amp; sources'!$F$4</x:f>
        <x:v>9.964</x:v>
      </x:c>
      <x:c r="M107" s="57" t="n">
        <x:f>J107*'Hypothèses &amp; sources'!$G$4</x:f>
        <x:v>10.340000000000002</x:v>
      </x:c>
      <x:c r="N107" s="57" t="n">
        <x:f>J107*'Hypothèses &amp; sources'!$H$4</x:f>
        <x:v>10.434000000000001</x:v>
      </x:c>
      <x:c r="O107" s="57" t="n">
        <x:f>J107*'Hypothèses &amp; sources'!$I$4</x:f>
        <x:v>11.656</x:v>
      </x:c>
      <x:c r="P107" s="57" t="str">
        <x:v>Lidl</x:v>
      </x:c>
      <x:c r="Q107" s="57" t="n">
        <x:f>IF(P107="Lidl",K107,IF(P107="Super U",L107,IF(P107="Carrefour",M107,IF(P107="Auchan",N107,O107))))</x:f>
        <x:v>9.4</x:v>
      </x:c>
      <x:c r="R107" s="57" t="n">
        <x:f>Q107/'Hypothèses &amp; sources'!$B$4</x:f>
        <x:v>2.35</x:v>
      </x:c>
      <x:c r="S107" s="56" t="n">
        <x:f>MAX(0,'Hypothèses &amp; sources'!$B$5*MAX(0,MIN(100,'Hypothèses &amp; sources'!$B$10-R107*'Hypothèses &amp; sources'!$B$9))+'Hypothèses &amp; sources'!$B$6*(G107/5*100)+'Hypothèses &amp; sources'!$B$7*(H107/5*100)+'Hypothèses &amp; sources'!$B$8*MAX(0,MIN(100,'Hypothèses &amp; sources'!$B$12-E107*'Hypothèses &amp; sources'!$B$11))-T107)</x:f>
        <x:v>73.836</x:v>
      </x:c>
      <x:c r="T107" s="33" t="n">
        <x:v>0</x:v>
      </x:c>
    </x:row>
    <x:row r="108">
      <x:c r="A108" s="33" t="n">
        <x:v>104</x:v>
      </x:c>
      <x:c r="B108" s="38" t="str">
        <x:v>Poulet au beurre de noix de cajou</x:v>
      </x:c>
      <x:c r="C108" s="38" t="str">
        <x:v>Plat complet</x:v>
      </x:c>
      <x:c r="D108" s="38" t="str">
        <x:v>poulet, beurre / noix</x:v>
      </x:c>
      <x:c r="E108" s="33" t="n">
        <x:v>20</x:v>
      </x:c>
      <x:c r="F108" s="33" t="n">
        <x:v>40</x:v>
      </x:c>
      <x:c r="G108" s="56" t="n">
        <x:v>4.3</x:v>
      </x:c>
      <x:c r="H108" s="56" t="n">
        <x:v>3.5</x:v>
      </x:c>
      <x:c r="I108" s="33" t="n">
        <x:v>0</x:v>
      </x:c>
      <x:c r="J108" s="57" t="n">
        <x:v>9.5</x:v>
      </x:c>
      <x:c r="K108" s="57" t="n">
        <x:f>J108*'Hypothèses &amp; sources'!$E$4</x:f>
        <x:v>9.5</x:v>
      </x:c>
      <x:c r="L108" s="57" t="n">
        <x:f>J108*'Hypothèses &amp; sources'!$F$4</x:f>
        <x:v>10.07</x:v>
      </x:c>
      <x:c r="M108" s="57" t="n">
        <x:f>J108*'Hypothèses &amp; sources'!$G$4</x:f>
        <x:v>10.450000000000001</x:v>
      </x:c>
      <x:c r="N108" s="57" t="n">
        <x:f>J108*'Hypothèses &amp; sources'!$H$4</x:f>
        <x:v>10.545000000000002</x:v>
      </x:c>
      <x:c r="O108" s="57" t="n">
        <x:f>J108*'Hypothèses &amp; sources'!$I$4</x:f>
        <x:v>11.78</x:v>
      </x:c>
      <x:c r="P108" s="57" t="str">
        <x:v>Lidl</x:v>
      </x:c>
      <x:c r="Q108" s="57" t="n">
        <x:f>IF(P108="Lidl",K108,IF(P108="Super U",L108,IF(P108="Carrefour",M108,IF(P108="Auchan",N108,O108))))</x:f>
        <x:v>9.5</x:v>
      </x:c>
      <x:c r="R108" s="57" t="n">
        <x:f>Q108/'Hypothèses &amp; sources'!$B$4</x:f>
        <x:v>2.375</x:v>
      </x:c>
      <x:c r="S108" s="56" t="n">
        <x:f>MAX(0,'Hypothèses &amp; sources'!$B$5*MAX(0,MIN(100,'Hypothèses &amp; sources'!$B$10-R108*'Hypothèses &amp; sources'!$B$9))+'Hypothèses &amp; sources'!$B$6*(G108/5*100)+'Hypothèses &amp; sources'!$B$7*(H108/5*100)+'Hypothèses &amp; sources'!$B$8*MAX(0,MIN(100,'Hypothèses &amp; sources'!$B$12-E108*'Hypothèses &amp; sources'!$B$11))-T108)</x:f>
        <x:v>78.83</x:v>
      </x:c>
      <x:c r="T108" s="33" t="n">
        <x:v>0</x:v>
      </x:c>
    </x:row>
    <x:row r="109">
      <x:c r="A109" s="33" t="n">
        <x:v>105</x:v>
      </x:c>
      <x:c r="B109" s="38" t="str">
        <x:v>Filet mignon de porc balsamique</x:v>
      </x:c>
      <x:c r="C109" s="38" t="str">
        <x:v>Plat complet</x:v>
      </x:c>
      <x:c r="D109" s="38" t="str">
        <x:v>filet mignon de porc</x:v>
      </x:c>
      <x:c r="E109" s="33" t="n">
        <x:v>20</x:v>
      </x:c>
      <x:c r="F109" s="33" t="n">
        <x:v>40</x:v>
      </x:c>
      <x:c r="G109" s="56" t="n">
        <x:v>3.9</x:v>
      </x:c>
      <x:c r="H109" s="56" t="n">
        <x:v>3.1</x:v>
      </x:c>
      <x:c r="I109" s="33" t="n">
        <x:v>0</x:v>
      </x:c>
      <x:c r="J109" s="57" t="n">
        <x:v>9.9</x:v>
      </x:c>
      <x:c r="K109" s="57" t="n">
        <x:f>J109*'Hypothèses &amp; sources'!$E$4</x:f>
        <x:v>9.9</x:v>
      </x:c>
      <x:c r="L109" s="57" t="n">
        <x:f>J109*'Hypothèses &amp; sources'!$F$4</x:f>
        <x:v>10.494000000000002</x:v>
      </x:c>
      <x:c r="M109" s="57" t="n">
        <x:f>J109*'Hypothèses &amp; sources'!$G$4</x:f>
        <x:v>10.89</x:v>
      </x:c>
      <x:c r="N109" s="57" t="n">
        <x:f>J109*'Hypothèses &amp; sources'!$H$4</x:f>
        <x:v>10.989</x:v>
      </x:c>
      <x:c r="O109" s="57" t="n">
        <x:f>J109*'Hypothèses &amp; sources'!$I$4</x:f>
        <x:v>12.276</x:v>
      </x:c>
      <x:c r="P109" s="57" t="str">
        <x:v>Lidl</x:v>
      </x:c>
      <x:c r="Q109" s="57" t="n">
        <x:f>IF(P109="Lidl",K109,IF(P109="Super U",L109,IF(P109="Carrefour",M109,IF(P109="Auchan",N109,O109))))</x:f>
        <x:v>9.9</x:v>
      </x:c>
      <x:c r="R109" s="57" t="n">
        <x:f>Q109/'Hypothèses &amp; sources'!$B$4</x:f>
        <x:v>2.475</x:v>
      </x:c>
      <x:c r="S109" s="56" t="n">
        <x:f>MAX(0,'Hypothèses &amp; sources'!$B$5*MAX(0,MIN(100,'Hypothèses &amp; sources'!$B$10-R109*'Hypothèses &amp; sources'!$B$9))+'Hypothèses &amp; sources'!$B$6*(G109/5*100)+'Hypothèses &amp; sources'!$B$7*(H109/5*100)+'Hypothèses &amp; sources'!$B$8*MAX(0,MIN(100,'Hypothèses &amp; sources'!$B$12-E109*'Hypothèses &amp; sources'!$B$11))-T109)</x:f>
        <x:v>74.646</x:v>
      </x:c>
      <x:c r="T109" s="33" t="n">
        <x:v>0</x:v>
      </x:c>
    </x:row>
    <x:row r="110">
      <x:c r="A110" s="33" t="n">
        <x:v>106</x:v>
      </x:c>
      <x:c r="B110" s="38" t="str">
        <x:v>French onion chicken</x:v>
      </x:c>
      <x:c r="C110" s="38" t="str">
        <x:v>Plat complet</x:v>
      </x:c>
      <x:c r="D110" s="38" t="str">
        <x:v>oignons, bouillon, fromage, poulet</x:v>
      </x:c>
      <x:c r="E110" s="33" t="n">
        <x:v>20</x:v>
      </x:c>
      <x:c r="F110" s="33" t="n">
        <x:v>40</x:v>
      </x:c>
      <x:c r="G110" s="56" t="n">
        <x:v>3.9</x:v>
      </x:c>
      <x:c r="H110" s="56" t="n">
        <x:v>3.5</x:v>
      </x:c>
      <x:c r="I110" s="33" t="n">
        <x:v>0</x:v>
      </x:c>
      <x:c r="J110" s="57" t="n">
        <x:v>10.3</x:v>
      </x:c>
      <x:c r="K110" s="57" t="n">
        <x:f>J110*'Hypothèses &amp; sources'!$E$4</x:f>
        <x:v>10.3</x:v>
      </x:c>
      <x:c r="L110" s="57" t="n">
        <x:f>J110*'Hypothèses &amp; sources'!$F$4</x:f>
        <x:v>10.918000000000001</x:v>
      </x:c>
      <x:c r="M110" s="57" t="n">
        <x:f>J110*'Hypothèses &amp; sources'!$G$4</x:f>
        <x:v>11.330000000000002</x:v>
      </x:c>
      <x:c r="N110" s="57" t="n">
        <x:f>J110*'Hypothèses &amp; sources'!$H$4</x:f>
        <x:v>11.433000000000002</x:v>
      </x:c>
      <x:c r="O110" s="57" t="n">
        <x:f>J110*'Hypothèses &amp; sources'!$I$4</x:f>
        <x:v>12.772</x:v>
      </x:c>
      <x:c r="P110" s="57" t="str">
        <x:v>Lidl</x:v>
      </x:c>
      <x:c r="Q110" s="57" t="n">
        <x:f>IF(P110="Lidl",K110,IF(P110="Super U",L110,IF(P110="Carrefour",M110,IF(P110="Auchan",N110,O110))))</x:f>
        <x:v>10.3</x:v>
      </x:c>
      <x:c r="R110" s="57" t="n">
        <x:f>Q110/'Hypothèses &amp; sources'!$B$4</x:f>
        <x:v>2.575</x:v>
      </x:c>
      <x:c r="S110" s="56" t="n">
        <x:f>MAX(0,'Hypothèses &amp; sources'!$B$5*MAX(0,MIN(100,'Hypothèses &amp; sources'!$B$10-R110*'Hypothèses &amp; sources'!$B$9))+'Hypothèses &amp; sources'!$B$6*(G110/5*100)+'Hypothèses &amp; sources'!$B$7*(H110/5*100)+'Hypothèses &amp; sources'!$B$8*MAX(0,MIN(100,'Hypothèses &amp; sources'!$B$12-E110*'Hypothèses &amp; sources'!$B$11))-T110)</x:f>
        <x:v>75.582</x:v>
      </x:c>
      <x:c r="T110" s="33" t="n">
        <x:v>0</x:v>
      </x:c>
    </x:row>
    <x:row r="111">
      <x:c r="A111" s="33" t="n">
        <x:v>107</x:v>
      </x:c>
      <x:c r="B111" s="38" t="str">
        <x:v>Dirty rice</x:v>
      </x:c>
      <x:c r="C111" s="38" t="str">
        <x:v>Riz / plat complet</x:v>
      </x:c>
      <x:c r="D111" s="38" t="str">
        <x:v>riz, bœuf haché ou saucisse, foie de volaille, poivron, céleri, épices</x:v>
      </x:c>
      <x:c r="E111" s="33" t="n">
        <x:v>20</x:v>
      </x:c>
      <x:c r="F111" s="33" t="n">
        <x:v>40</x:v>
      </x:c>
      <x:c r="G111" s="56" t="n">
        <x:v>4.6</x:v>
      </x:c>
      <x:c r="H111" s="56" t="n">
        <x:v>3.5</x:v>
      </x:c>
      <x:c r="I111" s="33" t="n">
        <x:v>1</x:v>
      </x:c>
      <x:c r="J111" s="57" t="n">
        <x:v>10.8</x:v>
      </x:c>
      <x:c r="K111" s="57" t="n">
        <x:f>J111*'Hypothèses &amp; sources'!$E$4</x:f>
        <x:v>10.8</x:v>
      </x:c>
      <x:c r="L111" s="57" t="n">
        <x:f>J111*'Hypothèses &amp; sources'!$F$4</x:f>
        <x:v>11.448000000000002</x:v>
      </x:c>
      <x:c r="M111" s="57" t="n">
        <x:f>J111*'Hypothèses &amp; sources'!$G$4</x:f>
        <x:v>11.880000000000003</x:v>
      </x:c>
      <x:c r="N111" s="57" t="n">
        <x:f>J111*'Hypothèses &amp; sources'!$H$4</x:f>
        <x:v>11.988000000000001</x:v>
      </x:c>
      <x:c r="O111" s="57" t="n">
        <x:f>J111*'Hypothèses &amp; sources'!$I$4</x:f>
        <x:v>13.392000000000001</x:v>
      </x:c>
      <x:c r="P111" s="57" t="str">
        <x:v>Super U</x:v>
      </x:c>
      <x:c r="Q111" s="57" t="n">
        <x:f>IF(P111="Lidl",K111,IF(P111="Super U",L111,IF(P111="Carrefour",M111,IF(P111="Auchan",N111,O111))))</x:f>
        <x:v>11.448000000000002</x:v>
      </x:c>
      <x:c r="R111" s="57" t="n">
        <x:f>Q111/'Hypothèses &amp; sources'!$B$4</x:f>
        <x:v>2.8620000000000005</x:v>
      </x:c>
      <x:c r="S111" s="56" t="n">
        <x:f>MAX(0,'Hypothèses &amp; sources'!$B$5*MAX(0,MIN(100,'Hypothèses &amp; sources'!$B$10-R111*'Hypothèses &amp; sources'!$B$9))+'Hypothèses &amp; sources'!$B$6*(G111/5*100)+'Hypothèses &amp; sources'!$B$7*(H111/5*100)+'Hypothèses &amp; sources'!$B$8*MAX(0,MIN(100,'Hypothèses &amp; sources'!$B$12-E111*'Hypothèses &amp; sources'!$B$11))-T111)</x:f>
        <x:v>78.05552</x:v>
      </x:c>
      <x:c r="T111" s="33" t="n">
        <x:v>0</x:v>
      </x:c>
    </x:row>
    <x:row r="112">
      <x:c r="A112" s="33" t="n">
        <x:v>108</x:v>
      </x:c>
      <x:c r="B112" s="38" t="str">
        <x:v>Beef ragu</x:v>
      </x:c>
      <x:c r="C112" s="38" t="str">
        <x:v>Plat complet</x:v>
      </x:c>
      <x:c r="D112" s="38" t="str">
        <x:v>bœuf à mijoter</x:v>
      </x:c>
      <x:c r="E112" s="33" t="n">
        <x:v>20</x:v>
      </x:c>
      <x:c r="F112" s="33" t="n">
        <x:v>40</x:v>
      </x:c>
      <x:c r="G112" s="56" t="n">
        <x:v>4</x:v>
      </x:c>
      <x:c r="H112" s="56" t="n">
        <x:v>3.1</x:v>
      </x:c>
      <x:c r="I112" s="33" t="n">
        <x:v>0</x:v>
      </x:c>
      <x:c r="J112" s="57" t="n">
        <x:v>12.4</x:v>
      </x:c>
      <x:c r="K112" s="57" t="n">
        <x:f>J112*'Hypothèses &amp; sources'!$E$4</x:f>
        <x:v>12.4</x:v>
      </x:c>
      <x:c r="L112" s="57" t="n">
        <x:f>J112*'Hypothèses &amp; sources'!$F$4</x:f>
        <x:v>13.144000000000002</x:v>
      </x:c>
      <x:c r="M112" s="57" t="n">
        <x:f>J112*'Hypothèses &amp; sources'!$G$4</x:f>
        <x:v>13.640000000000002</x:v>
      </x:c>
      <x:c r="N112" s="57" t="n">
        <x:f>J112*'Hypothèses &amp; sources'!$H$4</x:f>
        <x:v>13.764000000000001</x:v>
      </x:c>
      <x:c r="O112" s="57" t="n">
        <x:f>J112*'Hypothèses &amp; sources'!$I$4</x:f>
        <x:v>15.376</x:v>
      </x:c>
      <x:c r="P112" s="57" t="str">
        <x:v>Lidl</x:v>
      </x:c>
      <x:c r="Q112" s="57" t="n">
        <x:f>IF(P112="Lidl",K112,IF(P112="Super U",L112,IF(P112="Carrefour",M112,IF(P112="Auchan",N112,O112))))</x:f>
        <x:v>12.4</x:v>
      </x:c>
      <x:c r="R112" s="57" t="n">
        <x:f>Q112/'Hypothèses &amp; sources'!$B$4</x:f>
        <x:v>3.1</x:v>
      </x:c>
      <x:c r="S112" s="56" t="n">
        <x:f>MAX(0,'Hypothèses &amp; sources'!$B$5*MAX(0,MIN(100,'Hypothèses &amp; sources'!$B$10-R112*'Hypothèses &amp; sources'!$B$9))+'Hypothèses &amp; sources'!$B$6*(G112/5*100)+'Hypothèses &amp; sources'!$B$7*(H112/5*100)+'Hypothèses &amp; sources'!$B$8*MAX(0,MIN(100,'Hypothèses &amp; sources'!$B$12-E112*'Hypothèses &amp; sources'!$B$11))-T112)</x:f>
        <x:v>72.056</x:v>
      </x:c>
      <x:c r="T112" s="33" t="n">
        <x:v>0</x:v>
      </x:c>
    </x:row>
    <x:row r="113">
      <x:c r="A113" s="33" t="n">
        <x:v>109</x:v>
      </x:c>
      <x:c r="B113" s="38" t="str">
        <x:v>Boeuf salé</x:v>
      </x:c>
      <x:c r="C113" s="38" t="str">
        <x:v>Plat complet</x:v>
      </x:c>
      <x:c r="D113" s="38" t="str">
        <x:v>bœuf à mijoter</x:v>
      </x:c>
      <x:c r="E113" s="33" t="n">
        <x:v>20</x:v>
      </x:c>
      <x:c r="F113" s="33" t="n">
        <x:v>40</x:v>
      </x:c>
      <x:c r="G113" s="56" t="n">
        <x:v>4</x:v>
      </x:c>
      <x:c r="H113" s="56" t="n">
        <x:v>3.1</x:v>
      </x:c>
      <x:c r="I113" s="33" t="n">
        <x:v>0</x:v>
      </x:c>
      <x:c r="J113" s="57" t="n">
        <x:v>12.4</x:v>
      </x:c>
      <x:c r="K113" s="57" t="n">
        <x:f>J113*'Hypothèses &amp; sources'!$E$4</x:f>
        <x:v>12.4</x:v>
      </x:c>
      <x:c r="L113" s="57" t="n">
        <x:f>J113*'Hypothèses &amp; sources'!$F$4</x:f>
        <x:v>13.144000000000002</x:v>
      </x:c>
      <x:c r="M113" s="57" t="n">
        <x:f>J113*'Hypothèses &amp; sources'!$G$4</x:f>
        <x:v>13.640000000000002</x:v>
      </x:c>
      <x:c r="N113" s="57" t="n">
        <x:f>J113*'Hypothèses &amp; sources'!$H$4</x:f>
        <x:v>13.764000000000001</x:v>
      </x:c>
      <x:c r="O113" s="57" t="n">
        <x:f>J113*'Hypothèses &amp; sources'!$I$4</x:f>
        <x:v>15.376</x:v>
      </x:c>
      <x:c r="P113" s="57" t="str">
        <x:v>Lidl</x:v>
      </x:c>
      <x:c r="Q113" s="57" t="n">
        <x:f>IF(P113="Lidl",K113,IF(P113="Super U",L113,IF(P113="Carrefour",M113,IF(P113="Auchan",N113,O113))))</x:f>
        <x:v>12.4</x:v>
      </x:c>
      <x:c r="R113" s="57" t="n">
        <x:f>Q113/'Hypothèses &amp; sources'!$B$4</x:f>
        <x:v>3.1</x:v>
      </x:c>
      <x:c r="S113" s="56" t="n">
        <x:f>MAX(0,'Hypothèses &amp; sources'!$B$5*MAX(0,MIN(100,'Hypothèses &amp; sources'!$B$10-R113*'Hypothèses &amp; sources'!$B$9))+'Hypothèses &amp; sources'!$B$6*(G113/5*100)+'Hypothèses &amp; sources'!$B$7*(H113/5*100)+'Hypothèses &amp; sources'!$B$8*MAX(0,MIN(100,'Hypothèses &amp; sources'!$B$12-E113*'Hypothèses &amp; sources'!$B$11))-T113)</x:f>
        <x:v>72.056</x:v>
      </x:c>
      <x:c r="T113" s="33" t="n">
        <x:v>0</x:v>
      </x:c>
    </x:row>
    <x:row r="114">
      <x:c r="A114" s="33" t="n">
        <x:v>110</x:v>
      </x:c>
      <x:c r="B114" s="38" t="str">
        <x:v>Morceaux de boeuf suedois</x:v>
      </x:c>
      <x:c r="C114" s="38" t="str">
        <x:v>Plat complet</x:v>
      </x:c>
      <x:c r="D114" s="38" t="str">
        <x:v>bœuf à mijoter</x:v>
      </x:c>
      <x:c r="E114" s="33" t="n">
        <x:v>20</x:v>
      </x:c>
      <x:c r="F114" s="33" t="n">
        <x:v>40</x:v>
      </x:c>
      <x:c r="G114" s="56" t="n">
        <x:v>4</x:v>
      </x:c>
      <x:c r="H114" s="56" t="n">
        <x:v>3.1</x:v>
      </x:c>
      <x:c r="I114" s="33" t="n">
        <x:v>0</x:v>
      </x:c>
      <x:c r="J114" s="57" t="n">
        <x:v>12.4</x:v>
      </x:c>
      <x:c r="K114" s="57" t="n">
        <x:f>J114*'Hypothèses &amp; sources'!$E$4</x:f>
        <x:v>12.4</x:v>
      </x:c>
      <x:c r="L114" s="57" t="n">
        <x:f>J114*'Hypothèses &amp; sources'!$F$4</x:f>
        <x:v>13.144000000000002</x:v>
      </x:c>
      <x:c r="M114" s="57" t="n">
        <x:f>J114*'Hypothèses &amp; sources'!$G$4</x:f>
        <x:v>13.640000000000002</x:v>
      </x:c>
      <x:c r="N114" s="57" t="n">
        <x:f>J114*'Hypothèses &amp; sources'!$H$4</x:f>
        <x:v>13.764000000000001</x:v>
      </x:c>
      <x:c r="O114" s="57" t="n">
        <x:f>J114*'Hypothèses &amp; sources'!$I$4</x:f>
        <x:v>15.376</x:v>
      </x:c>
      <x:c r="P114" s="57" t="str">
        <x:v>Lidl</x:v>
      </x:c>
      <x:c r="Q114" s="57" t="n">
        <x:f>IF(P114="Lidl",K114,IF(P114="Super U",L114,IF(P114="Carrefour",M114,IF(P114="Auchan",N114,O114))))</x:f>
        <x:v>12.4</x:v>
      </x:c>
      <x:c r="R114" s="57" t="n">
        <x:f>Q114/'Hypothèses &amp; sources'!$B$4</x:f>
        <x:v>3.1</x:v>
      </x:c>
      <x:c r="S114" s="56" t="n">
        <x:f>MAX(0,'Hypothèses &amp; sources'!$B$5*MAX(0,MIN(100,'Hypothèses &amp; sources'!$B$10-R114*'Hypothèses &amp; sources'!$B$9))+'Hypothèses &amp; sources'!$B$6*(G114/5*100)+'Hypothèses &amp; sources'!$B$7*(H114/5*100)+'Hypothèses &amp; sources'!$B$8*MAX(0,MIN(100,'Hypothèses &amp; sources'!$B$12-E114*'Hypothèses &amp; sources'!$B$11))-T114)</x:f>
        <x:v>72.056</x:v>
      </x:c>
      <x:c r="T114" s="33" t="n">
        <x:v>0</x:v>
      </x:c>
    </x:row>
    <x:row r="115">
      <x:c r="A115" s="33" t="n">
        <x:v>111</x:v>
      </x:c>
      <x:c r="B115" s="38" t="str">
        <x:v>One-pot pasta with bolognese</x:v>
      </x:c>
      <x:c r="C115" s="38" t="str">
        <x:v>Pâtes / bœuf</x:v>
      </x:c>
      <x:c r="D115" s="38" t="str">
        <x:v>pâtes, bœuf haché, tomates, carotte, céleri, oignon, parmesan</x:v>
      </x:c>
      <x:c r="E115" s="33" t="n">
        <x:v>20</x:v>
      </x:c>
      <x:c r="F115" s="33" t="n">
        <x:v>40</x:v>
      </x:c>
      <x:c r="G115" s="56" t="n">
        <x:v>4.8</x:v>
      </x:c>
      <x:c r="H115" s="56" t="n">
        <x:v>4.1</x:v>
      </x:c>
      <x:c r="I115" s="33" t="n">
        <x:v>0</x:v>
      </x:c>
      <x:c r="J115" s="57" t="n">
        <x:v>12.5</x:v>
      </x:c>
      <x:c r="K115" s="57" t="n">
        <x:f>J115*'Hypothèses &amp; sources'!$E$4</x:f>
        <x:v>12.5</x:v>
      </x:c>
      <x:c r="L115" s="57" t="n">
        <x:f>J115*'Hypothèses &amp; sources'!$F$4</x:f>
        <x:v>13.25</x:v>
      </x:c>
      <x:c r="M115" s="57" t="n">
        <x:f>J115*'Hypothèses &amp; sources'!$G$4</x:f>
        <x:v>13.750000000000002</x:v>
      </x:c>
      <x:c r="N115" s="57" t="n">
        <x:f>J115*'Hypothèses &amp; sources'!$H$4</x:f>
        <x:v>13.875000000000002</x:v>
      </x:c>
      <x:c r="O115" s="57" t="n">
        <x:f>J115*'Hypothèses &amp; sources'!$I$4</x:f>
        <x:v>15.5</x:v>
      </x:c>
      <x:c r="P115" s="57" t="str">
        <x:v>Lidl</x:v>
      </x:c>
      <x:c r="Q115" s="57" t="n">
        <x:f>IF(P115="Lidl",K115,IF(P115="Super U",L115,IF(P115="Carrefour",M115,IF(P115="Auchan",N115,O115))))</x:f>
        <x:v>12.5</x:v>
      </x:c>
      <x:c r="R115" s="57" t="n">
        <x:f>Q115/'Hypothèses &amp; sources'!$B$4</x:f>
        <x:v>3.125</x:v>
      </x:c>
      <x:c r="S115" s="56" t="n">
        <x:f>MAX(0,'Hypothèses &amp; sources'!$B$5*MAX(0,MIN(100,'Hypothèses &amp; sources'!$B$10-R115*'Hypothèses &amp; sources'!$B$9))+'Hypothèses &amp; sources'!$B$6*(G115/5*100)+'Hypothèses &amp; sources'!$B$7*(H115/5*100)+'Hypothèses &amp; sources'!$B$8*MAX(0,MIN(100,'Hypothèses &amp; sources'!$B$12-E115*'Hypothèses &amp; sources'!$B$11))-T115)</x:f>
        <x:v>80.01</x:v>
      </x:c>
      <x:c r="T115" s="33" t="n">
        <x:v>0</x:v>
      </x:c>
    </x:row>
    <x:row r="116">
      <x:c r="A116" s="33" t="n">
        <x:v>112</x:v>
      </x:c>
      <x:c r="B116" s="38" t="str">
        <x:v>Cheesy ground beef and rice</x:v>
      </x:c>
      <x:c r="C116" s="38" t="str">
        <x:v>Riz / bœuf</x:v>
      </x:c>
      <x:c r="D116" s="38" t="str">
        <x:v>bœuf haché, riz, tomates, fromage, oignon</x:v>
      </x:c>
      <x:c r="E116" s="33" t="n">
        <x:v>20</x:v>
      </x:c>
      <x:c r="F116" s="33" t="n">
        <x:v>40</x:v>
      </x:c>
      <x:c r="G116" s="56" t="n">
        <x:v>4.8</x:v>
      </x:c>
      <x:c r="H116" s="56" t="n">
        <x:v>3.5</x:v>
      </x:c>
      <x:c r="I116" s="33" t="n">
        <x:v>0</x:v>
      </x:c>
      <x:c r="J116" s="57" t="n">
        <x:v>13</x:v>
      </x:c>
      <x:c r="K116" s="57" t="n">
        <x:f>J116*'Hypothèses &amp; sources'!$E$4</x:f>
        <x:v>13</x:v>
      </x:c>
      <x:c r="L116" s="57" t="n">
        <x:f>J116*'Hypothèses &amp; sources'!$F$4</x:f>
        <x:v>13.780000000000001</x:v>
      </x:c>
      <x:c r="M116" s="57" t="n">
        <x:f>J116*'Hypothèses &amp; sources'!$G$4</x:f>
        <x:v>14.3</x:v>
      </x:c>
      <x:c r="N116" s="57" t="n">
        <x:f>J116*'Hypothèses &amp; sources'!$H$4</x:f>
        <x:v>14.430000000000001</x:v>
      </x:c>
      <x:c r="O116" s="57" t="n">
        <x:f>J116*'Hypothèses &amp; sources'!$I$4</x:f>
        <x:v>16.12</x:v>
      </x:c>
      <x:c r="P116" s="57" t="str">
        <x:v>Lidl</x:v>
      </x:c>
      <x:c r="Q116" s="57" t="n">
        <x:f>IF(P116="Lidl",K116,IF(P116="Super U",L116,IF(P116="Carrefour",M116,IF(P116="Auchan",N116,O116))))</x:f>
        <x:v>13</x:v>
      </x:c>
      <x:c r="R116" s="57" t="n">
        <x:f>Q116/'Hypothèses &amp; sources'!$B$4</x:f>
        <x:v>3.25</x:v>
      </x:c>
      <x:c r="S116" s="56" t="n">
        <x:f>MAX(0,'Hypothèses &amp; sources'!$B$5*MAX(0,MIN(100,'Hypothèses &amp; sources'!$B$10-R116*'Hypothèses &amp; sources'!$B$9))+'Hypothèses &amp; sources'!$B$6*(G116/5*100)+'Hypothèses &amp; sources'!$B$7*(H116/5*100)+'Hypothèses &amp; sources'!$B$8*MAX(0,MIN(100,'Hypothèses &amp; sources'!$B$12-E116*'Hypothèses &amp; sources'!$B$11))-T116)</x:f>
        <x:v>77.22</x:v>
      </x:c>
      <x:c r="T116" s="33" t="n">
        <x:v>0</x:v>
      </x:c>
    </x:row>
    <x:row r="117">
      <x:c r="A117" s="33" t="n">
        <x:v>113</x:v>
      </x:c>
      <x:c r="B117" s="38" t="str">
        <x:v>Shrimp chicken jambalaya</x:v>
      </x:c>
      <x:c r="C117" s="38" t="str">
        <x:v>Plat complet</x:v>
      </x:c>
      <x:c r="D117" s="38" t="str">
        <x:v>riz, crevettes</x:v>
      </x:c>
      <x:c r="E117" s="33" t="n">
        <x:v>20</x:v>
      </x:c>
      <x:c r="F117" s="33" t="n">
        <x:v>40</x:v>
      </x:c>
      <x:c r="G117" s="56" t="n">
        <x:v>3.6</x:v>
      </x:c>
      <x:c r="H117" s="56" t="n">
        <x:v>3.5</x:v>
      </x:c>
      <x:c r="I117" s="33" t="n">
        <x:v>1</x:v>
      </x:c>
      <x:c r="J117" s="57" t="n">
        <x:v>12.3</x:v>
      </x:c>
      <x:c r="K117" s="57" t="n">
        <x:f>J117*'Hypothèses &amp; sources'!$E$4</x:f>
        <x:v>12.3</x:v>
      </x:c>
      <x:c r="L117" s="57" t="n">
        <x:f>J117*'Hypothèses &amp; sources'!$F$4</x:f>
        <x:v>13.038000000000002</x:v>
      </x:c>
      <x:c r="M117" s="57" t="n">
        <x:f>J117*'Hypothèses &amp; sources'!$G$4</x:f>
        <x:v>13.530000000000001</x:v>
      </x:c>
      <x:c r="N117" s="57" t="n">
        <x:f>J117*'Hypothèses &amp; sources'!$H$4</x:f>
        <x:v>13.653000000000002</x:v>
      </x:c>
      <x:c r="O117" s="57" t="n">
        <x:f>J117*'Hypothèses &amp; sources'!$I$4</x:f>
        <x:v>15.252</x:v>
      </x:c>
      <x:c r="P117" s="57" t="str">
        <x:v>Super U</x:v>
      </x:c>
      <x:c r="Q117" s="57" t="n">
        <x:f>IF(P117="Lidl",K117,IF(P117="Super U",L117,IF(P117="Carrefour",M117,IF(P117="Auchan",N117,O117))))</x:f>
        <x:v>13.038000000000002</x:v>
      </x:c>
      <x:c r="R117" s="57" t="n">
        <x:f>Q117/'Hypothèses &amp; sources'!$B$4</x:f>
        <x:v>3.2595000000000005</x:v>
      </x:c>
      <x:c r="S117" s="56" t="n">
        <x:f>MAX(0,'Hypothèses &amp; sources'!$B$5*MAX(0,MIN(100,'Hypothèses &amp; sources'!$B$10-R117*'Hypothèses &amp; sources'!$B$9))+'Hypothèses &amp; sources'!$B$6*(G117/5*100)+'Hypothèses &amp; sources'!$B$7*(H117/5*100)+'Hypothèses &amp; sources'!$B$8*MAX(0,MIN(100,'Hypothèses &amp; sources'!$B$12-E117*'Hypothèses &amp; sources'!$B$11))-T117)</x:f>
        <x:v>70.45212</x:v>
      </x:c>
      <x:c r="T117" s="33" t="n">
        <x:v>0</x:v>
      </x:c>
    </x:row>
    <x:row r="118">
      <x:c r="A118" s="33" t="n">
        <x:v>114</x:v>
      </x:c>
      <x:c r="B118" s="38" t="str">
        <x:v>Chicken alfredo with jar sauce</x:v>
      </x:c>
      <x:c r="C118" s="38" t="str">
        <x:v>Plat complet</x:v>
      </x:c>
      <x:c r="D118" s="38" t="str">
        <x:v>pâtes / nouilles, poulet, crème / fromage, sauce Alfredo en bocal</x:v>
      </x:c>
      <x:c r="E118" s="33" t="n">
        <x:v>20</x:v>
      </x:c>
      <x:c r="F118" s="33" t="n">
        <x:v>40</x:v>
      </x:c>
      <x:c r="G118" s="56" t="n">
        <x:v>4.5</x:v>
      </x:c>
      <x:c r="H118" s="56" t="n">
        <x:v>3.4</x:v>
      </x:c>
      <x:c r="I118" s="33" t="n">
        <x:v>0</x:v>
      </x:c>
      <x:c r="J118" s="57" t="n">
        <x:v>13.1</x:v>
      </x:c>
      <x:c r="K118" s="57" t="n">
        <x:f>J118*'Hypothèses &amp; sources'!$E$4</x:f>
        <x:v>13.1</x:v>
      </x:c>
      <x:c r="L118" s="57" t="n">
        <x:f>J118*'Hypothèses &amp; sources'!$F$4</x:f>
        <x:v>13.886000000000001</x:v>
      </x:c>
      <x:c r="M118" s="57" t="n">
        <x:f>J118*'Hypothèses &amp; sources'!$G$4</x:f>
        <x:v>14.41</x:v>
      </x:c>
      <x:c r="N118" s="57" t="n">
        <x:f>J118*'Hypothèses &amp; sources'!$H$4</x:f>
        <x:v>14.541</x:v>
      </x:c>
      <x:c r="O118" s="57" t="n">
        <x:f>J118*'Hypothèses &amp; sources'!$I$4</x:f>
        <x:v>16.244</x:v>
      </x:c>
      <x:c r="P118" s="57" t="str">
        <x:v>Lidl</x:v>
      </x:c>
      <x:c r="Q118" s="57" t="n">
        <x:f>IF(P118="Lidl",K118,IF(P118="Super U",L118,IF(P118="Carrefour",M118,IF(P118="Auchan",N118,O118))))</x:f>
        <x:v>13.1</x:v>
      </x:c>
      <x:c r="R118" s="57" t="n">
        <x:f>Q118/'Hypothèses &amp; sources'!$B$4</x:f>
        <x:v>3.275</x:v>
      </x:c>
      <x:c r="S118" s="56" t="n">
        <x:f>MAX(0,'Hypothèses &amp; sources'!$B$5*MAX(0,MIN(100,'Hypothèses &amp; sources'!$B$10-R118*'Hypothèses &amp; sources'!$B$9))+'Hypothèses &amp; sources'!$B$6*(G118/5*100)+'Hypothèses &amp; sources'!$B$7*(H118/5*100)+'Hypothèses &amp; sources'!$B$8*MAX(0,MIN(100,'Hypothèses &amp; sources'!$B$12-E118*'Hypothèses &amp; sources'!$B$11))-T118)</x:f>
        <x:v>75.054</x:v>
      </x:c>
      <x:c r="T118" s="33" t="n">
        <x:v>0</x:v>
      </x:c>
    </x:row>
    <x:row r="119">
      <x:c r="A119" s="33" t="n">
        <x:v>115</x:v>
      </x:c>
      <x:c r="B119" s="38" t="str">
        <x:v>Cream of mushroom chicken</x:v>
      </x:c>
      <x:c r="C119" s="38" t="str">
        <x:v>Plat complet</x:v>
      </x:c>
      <x:c r="D119" s="38" t="str">
        <x:v>champignons, poulet, crème / fromage</x:v>
      </x:c>
      <x:c r="E119" s="33" t="n">
        <x:v>20</x:v>
      </x:c>
      <x:c r="F119" s="33" t="n">
        <x:v>40</x:v>
      </x:c>
      <x:c r="G119" s="56" t="n">
        <x:v>4.2</x:v>
      </x:c>
      <x:c r="H119" s="56" t="n">
        <x:v>3.4</x:v>
      </x:c>
      <x:c r="I119" s="33" t="n">
        <x:v>0</x:v>
      </x:c>
      <x:c r="J119" s="57" t="n">
        <x:v>13.2</x:v>
      </x:c>
      <x:c r="K119" s="57" t="n">
        <x:f>J119*'Hypothèses &amp; sources'!$E$4</x:f>
        <x:v>13.2</x:v>
      </x:c>
      <x:c r="L119" s="57" t="n">
        <x:f>J119*'Hypothèses &amp; sources'!$F$4</x:f>
        <x:v>13.991999999999999</x:v>
      </x:c>
      <x:c r="M119" s="57" t="n">
        <x:f>J119*'Hypothèses &amp; sources'!$G$4</x:f>
        <x:v>14.52</x:v>
      </x:c>
      <x:c r="N119" s="57" t="n">
        <x:f>J119*'Hypothèses &amp; sources'!$H$4</x:f>
        <x:v>14.652000000000001</x:v>
      </x:c>
      <x:c r="O119" s="57" t="n">
        <x:f>J119*'Hypothèses &amp; sources'!$I$4</x:f>
        <x:v>16.368</x:v>
      </x:c>
      <x:c r="P119" s="57" t="str">
        <x:v>Lidl</x:v>
      </x:c>
      <x:c r="Q119" s="57" t="n">
        <x:f>IF(P119="Lidl",K119,IF(P119="Super U",L119,IF(P119="Carrefour",M119,IF(P119="Auchan",N119,O119))))</x:f>
        <x:v>13.2</x:v>
      </x:c>
      <x:c r="R119" s="57" t="n">
        <x:f>Q119/'Hypothèses &amp; sources'!$B$4</x:f>
        <x:v>3.3</x:v>
      </x:c>
      <x:c r="S119" s="56" t="n">
        <x:f>MAX(0,'Hypothèses &amp; sources'!$B$5*MAX(0,MIN(100,'Hypothèses &amp; sources'!$B$10-R119*'Hypothèses &amp; sources'!$B$9))+'Hypothèses &amp; sources'!$B$6*(G119/5*100)+'Hypothèses &amp; sources'!$B$7*(H119/5*100)+'Hypothèses &amp; sources'!$B$8*MAX(0,MIN(100,'Hypothèses &amp; sources'!$B$12-E119*'Hypothèses &amp; sources'!$B$11))-T119)</x:f>
        <x:v>73.248</x:v>
      </x:c>
      <x:c r="T119" s="33" t="n">
        <x:v>0</x:v>
      </x:c>
    </x:row>
    <x:row r="120">
      <x:c r="A120" s="33" t="n">
        <x:v>116</x:v>
      </x:c>
      <x:c r="B120" s="38" t="str">
        <x:v>Boeuf et nouilles</x:v>
      </x:c>
      <x:c r="C120" s="38" t="str">
        <x:v>Plat complet</x:v>
      </x:c>
      <x:c r="D120" s="38" t="str">
        <x:v>pâtes / nouilles, bœuf à mijoter</x:v>
      </x:c>
      <x:c r="E120" s="33" t="n">
        <x:v>20</x:v>
      </x:c>
      <x:c r="F120" s="33" t="n">
        <x:v>40</x:v>
      </x:c>
      <x:c r="G120" s="56" t="n">
        <x:v>4.3</x:v>
      </x:c>
      <x:c r="H120" s="56" t="n">
        <x:v>3.1</x:v>
      </x:c>
      <x:c r="I120" s="33" t="n">
        <x:v>0</x:v>
      </x:c>
      <x:c r="J120" s="57" t="n">
        <x:v>13.5</x:v>
      </x:c>
      <x:c r="K120" s="57" t="n">
        <x:f>J120*'Hypothèses &amp; sources'!$E$4</x:f>
        <x:v>13.5</x:v>
      </x:c>
      <x:c r="L120" s="57" t="n">
        <x:f>J120*'Hypothèses &amp; sources'!$F$4</x:f>
        <x:v>14.31</x:v>
      </x:c>
      <x:c r="M120" s="57" t="n">
        <x:f>J120*'Hypothèses &amp; sources'!$G$4</x:f>
        <x:v>14.850000000000001</x:v>
      </x:c>
      <x:c r="N120" s="57" t="n">
        <x:f>J120*'Hypothèses &amp; sources'!$H$4</x:f>
        <x:v>14.985000000000001</x:v>
      </x:c>
      <x:c r="O120" s="57" t="n">
        <x:f>J120*'Hypothèses &amp; sources'!$I$4</x:f>
        <x:v>16.74</x:v>
      </x:c>
      <x:c r="P120" s="57" t="str">
        <x:v>Lidl</x:v>
      </x:c>
      <x:c r="Q120" s="57" t="n">
        <x:f>IF(P120="Lidl",K120,IF(P120="Super U",L120,IF(P120="Carrefour",M120,IF(P120="Auchan",N120,O120))))</x:f>
        <x:v>13.5</x:v>
      </x:c>
      <x:c r="R120" s="57" t="n">
        <x:f>Q120/'Hypothèses &amp; sources'!$B$4</x:f>
        <x:v>3.375</x:v>
      </x:c>
      <x:c r="S120" s="56" t="n">
        <x:f>MAX(0,'Hypothèses &amp; sources'!$B$5*MAX(0,MIN(100,'Hypothèses &amp; sources'!$B$10-R120*'Hypothèses &amp; sources'!$B$9))+'Hypothèses &amp; sources'!$B$6*(G120/5*100)+'Hypothèses &amp; sources'!$B$7*(H120/5*100)+'Hypothèses &amp; sources'!$B$8*MAX(0,MIN(100,'Hypothèses &amp; sources'!$B$12-E120*'Hypothèses &amp; sources'!$B$11))-T120)</x:f>
        <x:v>72.35</x:v>
      </x:c>
      <x:c r="T120" s="33" t="n">
        <x:v>0</x:v>
      </x:c>
    </x:row>
    <x:row r="121">
      <x:c r="A121" s="33" t="n">
        <x:v>117</x:v>
      </x:c>
      <x:c r="B121" s="38" t="str">
        <x:v>Beef with haricots vert</x:v>
      </x:c>
      <x:c r="C121" s="38" t="str">
        <x:v>Plat complet</x:v>
      </x:c>
      <x:c r="D121" s="38" t="str">
        <x:v>légumineuses, haricots verts, bœuf à mijoter</x:v>
      </x:c>
      <x:c r="E121" s="33" t="n">
        <x:v>20</x:v>
      </x:c>
      <x:c r="F121" s="33" t="n">
        <x:v>40</x:v>
      </x:c>
      <x:c r="G121" s="56" t="n">
        <x:v>4.8</x:v>
      </x:c>
      <x:c r="H121" s="56" t="n">
        <x:v>3.6</x:v>
      </x:c>
      <x:c r="I121" s="33" t="n">
        <x:v>0</x:v>
      </x:c>
      <x:c r="J121" s="57" t="n">
        <x:v>15.8</x:v>
      </x:c>
      <x:c r="K121" s="57" t="n">
        <x:f>J121*'Hypothèses &amp; sources'!$E$4</x:f>
        <x:v>15.8</x:v>
      </x:c>
      <x:c r="L121" s="57" t="n">
        <x:f>J121*'Hypothèses &amp; sources'!$F$4</x:f>
        <x:v>16.748</x:v>
      </x:c>
      <x:c r="M121" s="57" t="n">
        <x:f>J121*'Hypothèses &amp; sources'!$G$4</x:f>
        <x:v>17.380000000000003</x:v>
      </x:c>
      <x:c r="N121" s="57" t="n">
        <x:f>J121*'Hypothèses &amp; sources'!$H$4</x:f>
        <x:v>17.538000000000004</x:v>
      </x:c>
      <x:c r="O121" s="57" t="n">
        <x:f>J121*'Hypothèses &amp; sources'!$I$4</x:f>
        <x:v>19.592000000000002</x:v>
      </x:c>
      <x:c r="P121" s="57" t="str">
        <x:v>Lidl</x:v>
      </x:c>
      <x:c r="Q121" s="57" t="n">
        <x:f>IF(P121="Lidl",K121,IF(P121="Super U",L121,IF(P121="Carrefour",M121,IF(P121="Auchan",N121,O121))))</x:f>
        <x:v>15.8</x:v>
      </x:c>
      <x:c r="R121" s="57" t="n">
        <x:f>Q121/'Hypothèses &amp; sources'!$B$4</x:f>
        <x:v>3.95</x:v>
      </x:c>
      <x:c r="S121" s="56" t="n">
        <x:f>MAX(0,'Hypothèses &amp; sources'!$B$5*MAX(0,MIN(100,'Hypothèses &amp; sources'!$B$10-R121*'Hypothèses &amp; sources'!$B$9))+'Hypothèses &amp; sources'!$B$6*(G121/5*100)+'Hypothèses &amp; sources'!$B$7*(H121/5*100)+'Hypothèses &amp; sources'!$B$8*MAX(0,MIN(100,'Hypothèses &amp; sources'!$B$12-E121*'Hypothèses &amp; sources'!$B$11))-T121)</x:f>
        <x:v>74.05199999999999</x:v>
      </x:c>
      <x:c r="T121" s="33" t="n">
        <x:v>0</x:v>
      </x:c>
    </x:row>
    <x:row r="122">
      <x:c r="A122" s="33" t="n">
        <x:v>118</x:v>
      </x:c>
      <x:c r="B122" s="38" t="str">
        <x:v>Italian beef</x:v>
      </x:c>
      <x:c r="C122" s="38" t="str">
        <x:v>Plat complet</x:v>
      </x:c>
      <x:c r="D122" s="38" t="str">
        <x:v>rôti / pièce de bœuf</x:v>
      </x:c>
      <x:c r="E122" s="33" t="n">
        <x:v>20</x:v>
      </x:c>
      <x:c r="F122" s="33" t="n">
        <x:v>40</x:v>
      </x:c>
      <x:c r="G122" s="56" t="n">
        <x:v>4</x:v>
      </x:c>
      <x:c r="H122" s="56" t="n">
        <x:v>3.1</x:v>
      </x:c>
      <x:c r="I122" s="33" t="n">
        <x:v>0</x:v>
      </x:c>
      <x:c r="J122" s="57" t="n">
        <x:v>15.9</x:v>
      </x:c>
      <x:c r="K122" s="57" t="n">
        <x:f>J122*'Hypothèses &amp; sources'!$E$4</x:f>
        <x:v>15.9</x:v>
      </x:c>
      <x:c r="L122" s="57" t="n">
        <x:f>J122*'Hypothèses &amp; sources'!$F$4</x:f>
        <x:v>16.854000000000003</x:v>
      </x:c>
      <x:c r="M122" s="57" t="n">
        <x:f>J122*'Hypothèses &amp; sources'!$G$4</x:f>
        <x:v>17.490000000000002</x:v>
      </x:c>
      <x:c r="N122" s="57" t="n">
        <x:f>J122*'Hypothèses &amp; sources'!$H$4</x:f>
        <x:v>17.649</x:v>
      </x:c>
      <x:c r="O122" s="57" t="n">
        <x:f>J122*'Hypothèses &amp; sources'!$I$4</x:f>
        <x:v>19.716</x:v>
      </x:c>
      <x:c r="P122" s="57" t="str">
        <x:v>Lidl</x:v>
      </x:c>
      <x:c r="Q122" s="57" t="n">
        <x:f>IF(P122="Lidl",K122,IF(P122="Super U",L122,IF(P122="Carrefour",M122,IF(P122="Auchan",N122,O122))))</x:f>
        <x:v>15.9</x:v>
      </x:c>
      <x:c r="R122" s="57" t="n">
        <x:f>Q122/'Hypothèses &amp; sources'!$B$4</x:f>
        <x:v>3.975</x:v>
      </x:c>
      <x:c r="S122" s="56" t="n">
        <x:f>MAX(0,'Hypothèses &amp; sources'!$B$5*MAX(0,MIN(100,'Hypothèses &amp; sources'!$B$10-R122*'Hypothèses &amp; sources'!$B$9))+'Hypothèses &amp; sources'!$B$6*(G122/5*100)+'Hypothèses &amp; sources'!$B$7*(H122/5*100)+'Hypothèses &amp; sources'!$B$8*MAX(0,MIN(100,'Hypothèses &amp; sources'!$B$12-E122*'Hypothèses &amp; sources'!$B$11))-T122)</x:f>
        <x:v>67.646</x:v>
      </x:c>
      <x:c r="T122" s="33" t="n">
        <x:v>0</x:v>
      </x:c>
    </x:row>
    <x:row r="123">
      <x:c r="A123" s="33" t="n">
        <x:v>119</x:v>
      </x:c>
      <x:c r="B123" s="38" t="str">
        <x:v>Round steak italiano</x:v>
      </x:c>
      <x:c r="C123" s="38" t="str">
        <x:v>Plat complet</x:v>
      </x:c>
      <x:c r="D123" s="38" t="str">
        <x:v>rôti / pièce de bœuf</x:v>
      </x:c>
      <x:c r="E123" s="33" t="n">
        <x:v>20</x:v>
      </x:c>
      <x:c r="F123" s="33" t="n">
        <x:v>40</x:v>
      </x:c>
      <x:c r="G123" s="56" t="n">
        <x:v>4</x:v>
      </x:c>
      <x:c r="H123" s="56" t="n">
        <x:v>3.1</x:v>
      </x:c>
      <x:c r="I123" s="33" t="n">
        <x:v>0</x:v>
      </x:c>
      <x:c r="J123" s="57" t="n">
        <x:v>15.9</x:v>
      </x:c>
      <x:c r="K123" s="57" t="n">
        <x:f>J123*'Hypothèses &amp; sources'!$E$4</x:f>
        <x:v>15.9</x:v>
      </x:c>
      <x:c r="L123" s="57" t="n">
        <x:f>J123*'Hypothèses &amp; sources'!$F$4</x:f>
        <x:v>16.854000000000003</x:v>
      </x:c>
      <x:c r="M123" s="57" t="n">
        <x:f>J123*'Hypothèses &amp; sources'!$G$4</x:f>
        <x:v>17.490000000000002</x:v>
      </x:c>
      <x:c r="N123" s="57" t="n">
        <x:f>J123*'Hypothèses &amp; sources'!$H$4</x:f>
        <x:v>17.649</x:v>
      </x:c>
      <x:c r="O123" s="57" t="n">
        <x:f>J123*'Hypothèses &amp; sources'!$I$4</x:f>
        <x:v>19.716</x:v>
      </x:c>
      <x:c r="P123" s="57" t="str">
        <x:v>Lidl</x:v>
      </x:c>
      <x:c r="Q123" s="57" t="n">
        <x:f>IF(P123="Lidl",K123,IF(P123="Super U",L123,IF(P123="Carrefour",M123,IF(P123="Auchan",N123,O123))))</x:f>
        <x:v>15.9</x:v>
      </x:c>
      <x:c r="R123" s="57" t="n">
        <x:f>Q123/'Hypothèses &amp; sources'!$B$4</x:f>
        <x:v>3.975</x:v>
      </x:c>
      <x:c r="S123" s="56" t="n">
        <x:f>MAX(0,'Hypothèses &amp; sources'!$B$5*MAX(0,MIN(100,'Hypothèses &amp; sources'!$B$10-R123*'Hypothèses &amp; sources'!$B$9))+'Hypothèses &amp; sources'!$B$6*(G123/5*100)+'Hypothèses &amp; sources'!$B$7*(H123/5*100)+'Hypothèses &amp; sources'!$B$8*MAX(0,MIN(100,'Hypothèses &amp; sources'!$B$12-E123*'Hypothèses &amp; sources'!$B$11))-T123)</x:f>
        <x:v>67.646</x:v>
      </x:c>
      <x:c r="T123" s="33" t="n">
        <x:v>0</x:v>
      </x:c>
    </x:row>
    <x:row r="124">
      <x:c r="A124" s="33" t="n">
        <x:v>120</x:v>
      </x:c>
      <x:c r="B124" s="38" t="str">
        <x:v>Salmon with chili-lime sauce</x:v>
      </x:c>
      <x:c r="C124" s="38" t="str">
        <x:v>Plat complet</x:v>
      </x:c>
      <x:c r="D124" s="38" t="str">
        <x:v>piment / chili, citron vert, saumon</x:v>
      </x:c>
      <x:c r="E124" s="33" t="n">
        <x:v>20</x:v>
      </x:c>
      <x:c r="F124" s="33" t="n">
        <x:v>40</x:v>
      </x:c>
      <x:c r="G124" s="56" t="n">
        <x:v>3.2</x:v>
      </x:c>
      <x:c r="H124" s="56" t="n">
        <x:v>3.7</x:v>
      </x:c>
      <x:c r="I124" s="33" t="n">
        <x:v>1</x:v>
      </x:c>
      <x:c r="J124" s="57" t="n">
        <x:v>15.6</x:v>
      </x:c>
      <x:c r="K124" s="57" t="n">
        <x:f>J124*'Hypothèses &amp; sources'!$E$4</x:f>
        <x:v>15.6</x:v>
      </x:c>
      <x:c r="L124" s="57" t="n">
        <x:f>J124*'Hypothèses &amp; sources'!$F$4</x:f>
        <x:v>16.536</x:v>
      </x:c>
      <x:c r="M124" s="57" t="n">
        <x:f>J124*'Hypothèses &amp; sources'!$G$4</x:f>
        <x:v>17.16</x:v>
      </x:c>
      <x:c r="N124" s="57" t="n">
        <x:f>J124*'Hypothèses &amp; sources'!$H$4</x:f>
        <x:v>17.316000000000003</x:v>
      </x:c>
      <x:c r="O124" s="57" t="n">
        <x:f>J124*'Hypothèses &amp; sources'!$I$4</x:f>
        <x:v>19.344</x:v>
      </x:c>
      <x:c r="P124" s="57" t="str">
        <x:v>Super U</x:v>
      </x:c>
      <x:c r="Q124" s="57" t="n">
        <x:f>IF(P124="Lidl",K124,IF(P124="Super U",L124,IF(P124="Carrefour",M124,IF(P124="Auchan",N124,O124))))</x:f>
        <x:v>16.536</x:v>
      </x:c>
      <x:c r="R124" s="57" t="n">
        <x:f>Q124/'Hypothèses &amp; sources'!$B$4</x:f>
        <x:v>4.134</x:v>
      </x:c>
      <x:c r="S124" s="56" t="n">
        <x:f>MAX(0,'Hypothèses &amp; sources'!$B$5*MAX(0,MIN(100,'Hypothèses &amp; sources'!$B$10-R124*'Hypothèses &amp; sources'!$B$9))+'Hypothèses &amp; sources'!$B$6*(G124/5*100)+'Hypothèses &amp; sources'!$B$7*(H124/5*100)+'Hypothèses &amp; sources'!$B$8*MAX(0,MIN(100,'Hypothèses &amp; sources'!$B$12-E124*'Hypothèses &amp; sources'!$B$11))-T124)</x:f>
        <x:v>64.52463999999999</x:v>
      </x:c>
      <x:c r="T124" s="33" t="n">
        <x:v>0</x:v>
      </x:c>
    </x:row>
    <x:row r="125">
      <x:c r="A125" s="33" t="n">
        <x:v>121</x:v>
      </x:c>
      <x:c r="B125" s="38" t="str">
        <x:v>Coquilles cremeuses au boeuf</x:v>
      </x:c>
      <x:c r="C125" s="38" t="str">
        <x:v>Plat complet</x:v>
      </x:c>
      <x:c r="D125" s="38" t="str">
        <x:v>pâtes / nouilles, bœuf à mijoter, crème / fromage</x:v>
      </x:c>
      <x:c r="E125" s="33" t="n">
        <x:v>20</x:v>
      </x:c>
      <x:c r="F125" s="33" t="n">
        <x:v>40</x:v>
      </x:c>
      <x:c r="G125" s="56" t="n">
        <x:v>4.6</x:v>
      </x:c>
      <x:c r="H125" s="56" t="n">
        <x:v>3</x:v>
      </x:c>
      <x:c r="I125" s="33" t="n">
        <x:v>0</x:v>
      </x:c>
      <x:c r="J125" s="57" t="n">
        <x:v>16.7</x:v>
      </x:c>
      <x:c r="K125" s="57" t="n">
        <x:f>J125*'Hypothèses &amp; sources'!$E$4</x:f>
        <x:v>16.7</x:v>
      </x:c>
      <x:c r="L125" s="57" t="n">
        <x:f>J125*'Hypothèses &amp; sources'!$F$4</x:f>
        <x:v>17.702</x:v>
      </x:c>
      <x:c r="M125" s="57" t="n">
        <x:f>J125*'Hypothèses &amp; sources'!$G$4</x:f>
        <x:v>18.37</x:v>
      </x:c>
      <x:c r="N125" s="57" t="n">
        <x:f>J125*'Hypothèses &amp; sources'!$H$4</x:f>
        <x:v>18.537000000000003</x:v>
      </x:c>
      <x:c r="O125" s="57" t="n">
        <x:f>J125*'Hypothèses &amp; sources'!$I$4</x:f>
        <x:v>20.708</x:v>
      </x:c>
      <x:c r="P125" s="57" t="str">
        <x:v>Lidl</x:v>
      </x:c>
      <x:c r="Q125" s="57" t="n">
        <x:f>IF(P125="Lidl",K125,IF(P125="Super U",L125,IF(P125="Carrefour",M125,IF(P125="Auchan",N125,O125))))</x:f>
        <x:v>16.7</x:v>
      </x:c>
      <x:c r="R125" s="57" t="n">
        <x:f>Q125/'Hypothèses &amp; sources'!$B$4</x:f>
        <x:v>4.175</x:v>
      </x:c>
      <x:c r="S125" s="56" t="n">
        <x:f>MAX(0,'Hypothèses &amp; sources'!$B$5*MAX(0,MIN(100,'Hypothèses &amp; sources'!$B$10-R125*'Hypothèses &amp; sources'!$B$9))+'Hypothèses &amp; sources'!$B$6*(G125/5*100)+'Hypothèses &amp; sources'!$B$7*(H125/5*100)+'Hypothèses &amp; sources'!$B$8*MAX(0,MIN(100,'Hypothèses &amp; sources'!$B$12-E125*'Hypothèses &amp; sources'!$B$11))-T125)</x:f>
        <x:v>69.638</x:v>
      </x:c>
      <x:c r="T125" s="33" t="n">
        <x:v>0</x:v>
      </x:c>
    </x:row>
    <x:row r="126">
      <x:c r="A126" s="33" t="n">
        <x:v>122</x:v>
      </x:c>
      <x:c r="B126" s="38" t="str">
        <x:v>Tortellinis cremeux au boeuf</x:v>
      </x:c>
      <x:c r="C126" s="38" t="str">
        <x:v>Plat complet</x:v>
      </x:c>
      <x:c r="D126" s="38" t="str">
        <x:v>pâtes / nouilles, bœuf à mijoter, crème / fromage</x:v>
      </x:c>
      <x:c r="E126" s="33" t="n">
        <x:v>20</x:v>
      </x:c>
      <x:c r="F126" s="33" t="n">
        <x:v>40</x:v>
      </x:c>
      <x:c r="G126" s="56" t="n">
        <x:v>4.6</x:v>
      </x:c>
      <x:c r="H126" s="56" t="n">
        <x:v>3</x:v>
      </x:c>
      <x:c r="I126" s="33" t="n">
        <x:v>0</x:v>
      </x:c>
      <x:c r="J126" s="57" t="n">
        <x:v>16.7</x:v>
      </x:c>
      <x:c r="K126" s="57" t="n">
        <x:f>J126*'Hypothèses &amp; sources'!$E$4</x:f>
        <x:v>16.7</x:v>
      </x:c>
      <x:c r="L126" s="57" t="n">
        <x:f>J126*'Hypothèses &amp; sources'!$F$4</x:f>
        <x:v>17.702</x:v>
      </x:c>
      <x:c r="M126" s="57" t="n">
        <x:f>J126*'Hypothèses &amp; sources'!$G$4</x:f>
        <x:v>18.37</x:v>
      </x:c>
      <x:c r="N126" s="57" t="n">
        <x:f>J126*'Hypothèses &amp; sources'!$H$4</x:f>
        <x:v>18.537000000000003</x:v>
      </x:c>
      <x:c r="O126" s="57" t="n">
        <x:f>J126*'Hypothèses &amp; sources'!$I$4</x:f>
        <x:v>20.708</x:v>
      </x:c>
      <x:c r="P126" s="57" t="str">
        <x:v>Lidl</x:v>
      </x:c>
      <x:c r="Q126" s="57" t="n">
        <x:f>IF(P126="Lidl",K126,IF(P126="Super U",L126,IF(P126="Carrefour",M126,IF(P126="Auchan",N126,O126))))</x:f>
        <x:v>16.7</x:v>
      </x:c>
      <x:c r="R126" s="57" t="n">
        <x:f>Q126/'Hypothèses &amp; sources'!$B$4</x:f>
        <x:v>4.175</x:v>
      </x:c>
      <x:c r="S126" s="56" t="n">
        <x:f>MAX(0,'Hypothèses &amp; sources'!$B$5*MAX(0,MIN(100,'Hypothèses &amp; sources'!$B$10-R126*'Hypothèses &amp; sources'!$B$9))+'Hypothèses &amp; sources'!$B$6*(G126/5*100)+'Hypothèses &amp; sources'!$B$7*(H126/5*100)+'Hypothèses &amp; sources'!$B$8*MAX(0,MIN(100,'Hypothèses &amp; sources'!$B$12-E126*'Hypothèses &amp; sources'!$B$11))-T126)</x:f>
        <x:v>69.638</x:v>
      </x:c>
      <x:c r="T126" s="33" t="n">
        <x:v>0</x:v>
      </x:c>
    </x:row>
    <x:row r="127">
      <x:c r="A127" s="33" t="n">
        <x:v>123</x:v>
      </x:c>
      <x:c r="B127" s="38" t="str">
        <x:v>Lamb pilaf/plov</x:v>
      </x:c>
      <x:c r="C127" s="38" t="str">
        <x:v>Plat complet</x:v>
      </x:c>
      <x:c r="D127" s="38" t="str">
        <x:v>riz, agneau / mouton</x:v>
      </x:c>
      <x:c r="E127" s="33" t="n">
        <x:v>20</x:v>
      </x:c>
      <x:c r="F127" s="33" t="n">
        <x:v>40</x:v>
      </x:c>
      <x:c r="G127" s="56" t="n">
        <x:v>4.4</x:v>
      </x:c>
      <x:c r="H127" s="56" t="n">
        <x:v>3.1</x:v>
      </x:c>
      <x:c r="I127" s="33" t="n">
        <x:v>1</x:v>
      </x:c>
      <x:c r="J127" s="57" t="n">
        <x:v>18.3</x:v>
      </x:c>
      <x:c r="K127" s="57" t="n">
        <x:f>J127*'Hypothèses &amp; sources'!$E$4</x:f>
        <x:v>18.3</x:v>
      </x:c>
      <x:c r="L127" s="57" t="n">
        <x:f>J127*'Hypothèses &amp; sources'!$F$4</x:f>
        <x:v>19.398000000000003</x:v>
      </x:c>
      <x:c r="M127" s="57" t="n">
        <x:f>J127*'Hypothèses &amp; sources'!$G$4</x:f>
        <x:v>20.130000000000003</x:v>
      </x:c>
      <x:c r="N127" s="57" t="n">
        <x:f>J127*'Hypothèses &amp; sources'!$H$4</x:f>
        <x:v>20.313000000000002</x:v>
      </x:c>
      <x:c r="O127" s="57" t="n">
        <x:f>J127*'Hypothèses &amp; sources'!$I$4</x:f>
        <x:v>22.692</x:v>
      </x:c>
      <x:c r="P127" s="57" t="str">
        <x:v>Super U</x:v>
      </x:c>
      <x:c r="Q127" s="57" t="n">
        <x:f>IF(P127="Lidl",K127,IF(P127="Super U",L127,IF(P127="Carrefour",M127,IF(P127="Auchan",N127,O127))))</x:f>
        <x:v>19.398000000000003</x:v>
      </x:c>
      <x:c r="R127" s="57" t="n">
        <x:f>Q127/'Hypothèses &amp; sources'!$B$4</x:f>
        <x:v>4.849500000000001</x:v>
      </x:c>
      <x:c r="S127" s="56" t="n">
        <x:f>MAX(0,'Hypothèses &amp; sources'!$B$5*MAX(0,MIN(100,'Hypothèses &amp; sources'!$B$10-R127*'Hypothèses &amp; sources'!$B$9))+'Hypothèses &amp; sources'!$B$6*(G127/5*100)+'Hypothèses &amp; sources'!$B$7*(H127/5*100)+'Hypothèses &amp; sources'!$B$8*MAX(0,MIN(100,'Hypothèses &amp; sources'!$B$12-E127*'Hypothèses &amp; sources'!$B$11))-T127)</x:f>
        <x:v>65.47852</x:v>
      </x:c>
      <x:c r="T127" s="33" t="n">
        <x:v>0</x:v>
      </x:c>
    </x:row>
    <x:row r="128">
      <x:c r="A128" s="33" t="n">
        <x:v>124</x:v>
      </x:c>
      <x:c r="B128" s="38" t="str">
        <x:v>Coquilles saint-jacques alfredo</x:v>
      </x:c>
      <x:c r="C128" s="38" t="str">
        <x:v>Plat complet</x:v>
      </x:c>
      <x:c r="D128" s="38" t="str">
        <x:v>pâtes / nouilles, coquilles Saint-Jacques, crème / fromage</x:v>
      </x:c>
      <x:c r="E128" s="33" t="n">
        <x:v>20</x:v>
      </x:c>
      <x:c r="F128" s="33" t="n">
        <x:v>40</x:v>
      </x:c>
      <x:c r="G128" s="56" t="n">
        <x:v>3.8</x:v>
      </x:c>
      <x:c r="H128" s="56" t="n">
        <x:v>3.5</x:v>
      </x:c>
      <x:c r="I128" s="33" t="n">
        <x:v>2</x:v>
      </x:c>
      <x:c r="J128" s="57" t="n">
        <x:v>23.2</x:v>
      </x:c>
      <x:c r="K128" s="57" t="n">
        <x:f>J128*'Hypothèses &amp; sources'!$E$4</x:f>
        <x:v>23.2</x:v>
      </x:c>
      <x:c r="L128" s="57" t="n">
        <x:f>J128*'Hypothèses &amp; sources'!$F$4</x:f>
        <x:v>24.592</x:v>
      </x:c>
      <x:c r="M128" s="57" t="n">
        <x:f>J128*'Hypothèses &amp; sources'!$G$4</x:f>
        <x:v>25.52</x:v>
      </x:c>
      <x:c r="N128" s="57" t="n">
        <x:f>J128*'Hypothèses &amp; sources'!$H$4</x:f>
        <x:v>25.752000000000002</x:v>
      </x:c>
      <x:c r="O128" s="57" t="n">
        <x:f>J128*'Hypothèses &amp; sources'!$I$4</x:f>
        <x:v>28.768</x:v>
      </x:c>
      <x:c r="P128" s="57" t="str">
        <x:v>Carrefour</x:v>
      </x:c>
      <x:c r="Q128" s="57" t="n">
        <x:f>IF(P128="Lidl",K128,IF(P128="Super U",L128,IF(P128="Carrefour",M128,IF(P128="Auchan",N128,O128))))</x:f>
        <x:v>25.52</x:v>
      </x:c>
      <x:c r="R128" s="57" t="n">
        <x:f>Q128/'Hypothèses &amp; sources'!$B$4</x:f>
        <x:v>6.38</x:v>
      </x:c>
      <x:c r="S128" s="56" t="n">
        <x:f>MAX(0,'Hypothèses &amp; sources'!$B$5*MAX(0,MIN(100,'Hypothèses &amp; sources'!$B$10-R128*'Hypothèses &amp; sources'!$B$9))+'Hypothèses &amp; sources'!$B$6*(G128/5*100)+'Hypothèses &amp; sources'!$B$7*(H128/5*100)+'Hypothèses &amp; sources'!$B$8*MAX(0,MIN(100,'Hypothèses &amp; sources'!$B$12-E128*'Hypothèses &amp; sources'!$B$11))-T128)</x:f>
        <x:v>55.8448</x:v>
      </x:c>
      <x:c r="T128" s="33" t="n">
        <x:v>0</x:v>
      </x:c>
    </x:row>
    <x:row r="129">
      <x:c r="A129" s="33" t="n">
        <x:v>125</x:v>
      </x:c>
      <x:c r="B129" s="38" t="str">
        <x:v>Côtes de bœuf succulentes</x:v>
      </x:c>
      <x:c r="C129" s="38" t="str">
        <x:v>Plat complet</x:v>
      </x:c>
      <x:c r="D129" s="38" t="str">
        <x:v>pièce de bœuf premium</x:v>
      </x:c>
      <x:c r="E129" s="33" t="n">
        <x:v>20</x:v>
      </x:c>
      <x:c r="F129" s="33" t="n">
        <x:v>40</x:v>
      </x:c>
      <x:c r="G129" s="56" t="n">
        <x:v>4.1</x:v>
      </x:c>
      <x:c r="H129" s="56" t="n">
        <x:v>3.1</x:v>
      </x:c>
      <x:c r="I129" s="33" t="n">
        <x:v>1</x:v>
      </x:c>
      <x:c r="J129" s="57" t="n">
        <x:v>24.9</x:v>
      </x:c>
      <x:c r="K129" s="57" t="n">
        <x:f>J129*'Hypothèses &amp; sources'!$E$4</x:f>
        <x:v>24.9</x:v>
      </x:c>
      <x:c r="L129" s="57" t="n">
        <x:f>J129*'Hypothèses &amp; sources'!$F$4</x:f>
        <x:v>26.394</x:v>
      </x:c>
      <x:c r="M129" s="57" t="n">
        <x:f>J129*'Hypothèses &amp; sources'!$G$4</x:f>
        <x:v>27.39</x:v>
      </x:c>
      <x:c r="N129" s="57" t="n">
        <x:f>J129*'Hypothèses &amp; sources'!$H$4</x:f>
        <x:v>27.639</x:v>
      </x:c>
      <x:c r="O129" s="57" t="n">
        <x:f>J129*'Hypothèses &amp; sources'!$I$4</x:f>
        <x:v>30.875999999999998</x:v>
      </x:c>
      <x:c r="P129" s="57" t="str">
        <x:v>Carrefour</x:v>
      </x:c>
      <x:c r="Q129" s="57" t="n">
        <x:f>IF(P129="Lidl",K129,IF(P129="Super U",L129,IF(P129="Carrefour",M129,IF(P129="Auchan",N129,O129))))</x:f>
        <x:v>27.39</x:v>
      </x:c>
      <x:c r="R129" s="57" t="n">
        <x:f>Q129/'Hypothèses &amp; sources'!$B$4</x:f>
        <x:v>6.8475</x:v>
      </x:c>
      <x:c r="S129" s="56" t="n">
        <x:f>MAX(0,'Hypothèses &amp; sources'!$B$5*MAX(0,MIN(100,'Hypothèses &amp; sources'!$B$10-R129*'Hypothèses &amp; sources'!$B$9))+'Hypothèses &amp; sources'!$B$6*(G129/5*100)+'Hypothèses &amp; sources'!$B$7*(H129/5*100)+'Hypothèses &amp; sources'!$B$8*MAX(0,MIN(100,'Hypothèses &amp; sources'!$B$12-E129*'Hypothèses &amp; sources'!$B$11))-T129)</x:f>
        <x:v>53.7286</x:v>
      </x:c>
      <x:c r="T129" s="33" t="n">
        <x:v>0</x:v>
      </x:c>
    </x:row>
    <x:row r="130">
      <x:c r="A130" s="33" t="n">
        <x:v>126</x:v>
      </x:c>
      <x:c r="B130" s="38" t="str">
        <x:v>Tri tip</x:v>
      </x:c>
      <x:c r="C130" s="38" t="str">
        <x:v>Plat complet</x:v>
      </x:c>
      <x:c r="D130" s="38" t="str">
        <x:v>pièce de bœuf premium</x:v>
      </x:c>
      <x:c r="E130" s="33" t="n">
        <x:v>20</x:v>
      </x:c>
      <x:c r="F130" s="33" t="n">
        <x:v>40</x:v>
      </x:c>
      <x:c r="G130" s="56" t="n">
        <x:v>4.1</x:v>
      </x:c>
      <x:c r="H130" s="56" t="n">
        <x:v>3.1</x:v>
      </x:c>
      <x:c r="I130" s="33" t="n">
        <x:v>1</x:v>
      </x:c>
      <x:c r="J130" s="57" t="n">
        <x:v>24.9</x:v>
      </x:c>
      <x:c r="K130" s="57" t="n">
        <x:f>J130*'Hypothèses &amp; sources'!$E$4</x:f>
        <x:v>24.9</x:v>
      </x:c>
      <x:c r="L130" s="57" t="n">
        <x:f>J130*'Hypothèses &amp; sources'!$F$4</x:f>
        <x:v>26.394</x:v>
      </x:c>
      <x:c r="M130" s="57" t="n">
        <x:f>J130*'Hypothèses &amp; sources'!$G$4</x:f>
        <x:v>27.39</x:v>
      </x:c>
      <x:c r="N130" s="57" t="n">
        <x:f>J130*'Hypothèses &amp; sources'!$H$4</x:f>
        <x:v>27.639</x:v>
      </x:c>
      <x:c r="O130" s="57" t="n">
        <x:f>J130*'Hypothèses &amp; sources'!$I$4</x:f>
        <x:v>30.875999999999998</x:v>
      </x:c>
      <x:c r="P130" s="57" t="str">
        <x:v>Carrefour</x:v>
      </x:c>
      <x:c r="Q130" s="57" t="n">
        <x:f>IF(P130="Lidl",K130,IF(P130="Super U",L130,IF(P130="Carrefour",M130,IF(P130="Auchan",N130,O130))))</x:f>
        <x:v>27.39</x:v>
      </x:c>
      <x:c r="R130" s="57" t="n">
        <x:f>Q130/'Hypothèses &amp; sources'!$B$4</x:f>
        <x:v>6.8475</x:v>
      </x:c>
      <x:c r="S130" s="56" t="n">
        <x:f>MAX(0,'Hypothèses &amp; sources'!$B$5*MAX(0,MIN(100,'Hypothèses &amp; sources'!$B$10-R130*'Hypothèses &amp; sources'!$B$9))+'Hypothèses &amp; sources'!$B$6*(G130/5*100)+'Hypothèses &amp; sources'!$B$7*(H130/5*100)+'Hypothèses &amp; sources'!$B$8*MAX(0,MIN(100,'Hypothèses &amp; sources'!$B$12-E130*'Hypothèses &amp; sources'!$B$11))-T130)</x:f>
        <x:v>53.7286</x:v>
      </x:c>
      <x:c r="T130" s="33" t="n">
        <x:v>0</x:v>
      </x:c>
    </x:row>
    <x:row r="131">
      <x:c r="A131" s="33" t="n">
        <x:v>127</x:v>
      </x:c>
      <x:c r="B131" s="38" t="str">
        <x:v>Rack of lamb</x:v>
      </x:c>
      <x:c r="C131" s="38" t="str">
        <x:v>Plat complet</x:v>
      </x:c>
      <x:c r="D131" s="38" t="str">
        <x:v>carré d’agneau</x:v>
      </x:c>
      <x:c r="E131" s="33" t="n">
        <x:v>20</x:v>
      </x:c>
      <x:c r="F131" s="33" t="n">
        <x:v>40</x:v>
      </x:c>
      <x:c r="G131" s="56" t="n">
        <x:v>3.9</x:v>
      </x:c>
      <x:c r="H131" s="56" t="n">
        <x:v>3.1</x:v>
      </x:c>
      <x:c r="I131" s="33" t="n">
        <x:v>2</x:v>
      </x:c>
      <x:c r="J131" s="57" t="n">
        <x:v>29.9</x:v>
      </x:c>
      <x:c r="K131" s="57" t="n">
        <x:f>J131*'Hypothèses &amp; sources'!$E$4</x:f>
        <x:v>29.9</x:v>
      </x:c>
      <x:c r="L131" s="57" t="n">
        <x:f>J131*'Hypothèses &amp; sources'!$F$4</x:f>
        <x:v>31.694</x:v>
      </x:c>
      <x:c r="M131" s="57" t="n">
        <x:f>J131*'Hypothèses &amp; sources'!$G$4</x:f>
        <x:v>32.89</x:v>
      </x:c>
      <x:c r="N131" s="57" t="n">
        <x:f>J131*'Hypothèses &amp; sources'!$H$4</x:f>
        <x:v>33.189</x:v>
      </x:c>
      <x:c r="O131" s="57" t="n">
        <x:f>J131*'Hypothèses &amp; sources'!$I$4</x:f>
        <x:v>37.076</x:v>
      </x:c>
      <x:c r="P131" s="57" t="str">
        <x:v>Carrefour</x:v>
      </x:c>
      <x:c r="Q131" s="57" t="n">
        <x:f>IF(P131="Lidl",K131,IF(P131="Super U",L131,IF(P131="Carrefour",M131,IF(P131="Auchan",N131,O131))))</x:f>
        <x:v>32.89</x:v>
      </x:c>
      <x:c r="R131" s="57" t="n">
        <x:f>Q131/'Hypothèses &amp; sources'!$B$4</x:f>
        <x:v>8.2225</x:v>
      </x:c>
      <x:c r="S131" s="56" t="n">
        <x:f>MAX(0,'Hypothèses &amp; sources'!$B$5*MAX(0,MIN(100,'Hypothèses &amp; sources'!$B$10-R131*'Hypothèses &amp; sources'!$B$9))+'Hypothèses &amp; sources'!$B$6*(G131/5*100)+'Hypothèses &amp; sources'!$B$7*(H131/5*100)+'Hypothèses &amp; sources'!$B$8*MAX(0,MIN(100,'Hypothèses &amp; sources'!$B$12-E131*'Hypothèses &amp; sources'!$B$11))-T131)</x:f>
        <x:v>45.6786</x:v>
      </x:c>
      <x:c r="T131" s="33" t="n">
        <x:v>0</x:v>
      </x:c>
    </x:row>
    <x:row r="132">
      <x:c r="A132" s="33" t="n">
        <x:v>128</x:v>
      </x:c>
      <x:c r="B132" s="38" t="str">
        <x:v>Riz jollof</x:v>
      </x:c>
      <x:c r="C132" s="38" t="str">
        <x:v>Riz / accompagnement</x:v>
      </x:c>
      <x:c r="D132" s="38" t="str">
        <x:v>riz, tomates, poivron, oignon, bouillon, épices</x:v>
      </x:c>
      <x:c r="E132" s="33" t="n">
        <x:v>20</x:v>
      </x:c>
      <x:c r="F132" s="33" t="n">
        <x:v>45</x:v>
      </x:c>
      <x:c r="G132" s="56" t="n">
        <x:v>3.8</x:v>
      </x:c>
      <x:c r="H132" s="56" t="n">
        <x:v>4</x:v>
      </x:c>
      <x:c r="I132" s="33" t="n">
        <x:v>1</x:v>
      </x:c>
      <x:c r="J132" s="57" t="n">
        <x:v>5.8</x:v>
      </x:c>
      <x:c r="K132" s="57" t="n">
        <x:f>J132*'Hypothèses &amp; sources'!$E$4</x:f>
        <x:v>5.8</x:v>
      </x:c>
      <x:c r="L132" s="57" t="n">
        <x:f>J132*'Hypothèses &amp; sources'!$F$4</x:f>
        <x:v>6.148</x:v>
      </x:c>
      <x:c r="M132" s="57" t="n">
        <x:f>J132*'Hypothèses &amp; sources'!$G$4</x:f>
        <x:v>6.38</x:v>
      </x:c>
      <x:c r="N132" s="57" t="n">
        <x:f>J132*'Hypothèses &amp; sources'!$H$4</x:f>
        <x:v>6.438000000000001</x:v>
      </x:c>
      <x:c r="O132" s="57" t="n">
        <x:f>J132*'Hypothèses &amp; sources'!$I$4</x:f>
        <x:v>7.192</x:v>
      </x:c>
      <x:c r="P132" s="57" t="str">
        <x:v>Super U</x:v>
      </x:c>
      <x:c r="Q132" s="57" t="n">
        <x:f>IF(P132="Lidl",K132,IF(P132="Super U",L132,IF(P132="Carrefour",M132,IF(P132="Auchan",N132,O132))))</x:f>
        <x:v>6.148</x:v>
      </x:c>
      <x:c r="R132" s="57" t="n">
        <x:f>Q132/'Hypothèses &amp; sources'!$B$4</x:f>
        <x:v>1.537</x:v>
      </x:c>
      <x:c r="S132" s="56" t="n">
        <x:f>MAX(0,'Hypothèses &amp; sources'!$B$5*MAX(0,MIN(100,'Hypothèses &amp; sources'!$B$10-R132*'Hypothèses &amp; sources'!$B$9))+'Hypothèses &amp; sources'!$B$6*(G132/5*100)+'Hypothèses &amp; sources'!$B$7*(H132/5*100)+'Hypothèses &amp; sources'!$B$8*MAX(0,MIN(100,'Hypothèses &amp; sources'!$B$12-E132*'Hypothèses &amp; sources'!$B$11))-T132)</x:f>
        <x:v>74.05352</x:v>
      </x:c>
      <x:c r="T132" s="33" t="n">
        <x:v>8</x:v>
      </x:c>
    </x:row>
    <x:row r="133">
      <x:c r="A133" s="33" t="n">
        <x:v>129</x:v>
      </x:c>
      <x:c r="B133" s="38" t="str">
        <x:v>Gajar ka halwa/carrot with raisins</x:v>
      </x:c>
      <x:c r="C133" s="38" t="str">
        <x:v>Dessert</x:v>
      </x:c>
      <x:c r="D133" s="38" t="str">
        <x:v>carottes, lait, sucre, raisins, beurre</x:v>
      </x:c>
      <x:c r="E133" s="33" t="n">
        <x:v>20</x:v>
      </x:c>
      <x:c r="F133" s="33" t="n">
        <x:v>45</x:v>
      </x:c>
      <x:c r="G133" s="56" t="n">
        <x:v>3</x:v>
      </x:c>
      <x:c r="H133" s="56" t="n">
        <x:v>2.5</x:v>
      </x:c>
      <x:c r="I133" s="33" t="n">
        <x:v>1</x:v>
      </x:c>
      <x:c r="J133" s="57" t="n">
        <x:v>6</x:v>
      </x:c>
      <x:c r="K133" s="57" t="n">
        <x:f>J133*'Hypothèses &amp; sources'!$E$4</x:f>
        <x:v>6</x:v>
      </x:c>
      <x:c r="L133" s="57" t="n">
        <x:f>J133*'Hypothèses &amp; sources'!$F$4</x:f>
        <x:v>6.36</x:v>
      </x:c>
      <x:c r="M133" s="57" t="n">
        <x:f>J133*'Hypothèses &amp; sources'!$G$4</x:f>
        <x:v>6.6000000000000005</x:v>
      </x:c>
      <x:c r="N133" s="57" t="n">
        <x:f>J133*'Hypothèses &amp; sources'!$H$4</x:f>
        <x:v>6.66</x:v>
      </x:c>
      <x:c r="O133" s="57" t="n">
        <x:f>J133*'Hypothèses &amp; sources'!$I$4</x:f>
        <x:v>7.4399999999999995</x:v>
      </x:c>
      <x:c r="P133" s="57" t="str">
        <x:v>Super U</x:v>
      </x:c>
      <x:c r="Q133" s="57" t="n">
        <x:f>IF(P133="Lidl",K133,IF(P133="Super U",L133,IF(P133="Carrefour",M133,IF(P133="Auchan",N133,O133))))</x:f>
        <x:v>6.36</x:v>
      </x:c>
      <x:c r="R133" s="57" t="n">
        <x:f>Q133/'Hypothèses &amp; sources'!$B$4</x:f>
        <x:v>1.59</x:v>
      </x:c>
      <x:c r="S133" s="56" t="n">
        <x:f>MAX(0,'Hypothèses &amp; sources'!$B$5*MAX(0,MIN(100,'Hypothèses &amp; sources'!$B$10-R133*'Hypothèses &amp; sources'!$B$9))+'Hypothèses &amp; sources'!$B$6*(G133/5*100)+'Hypothèses &amp; sources'!$B$7*(H133/5*100)+'Hypothèses &amp; sources'!$B$8*MAX(0,MIN(100,'Hypothèses &amp; sources'!$B$12-E133*'Hypothèses &amp; sources'!$B$11))-T133)</x:f>
        <x:v>59.906400000000005</x:v>
      </x:c>
      <x:c r="T133" s="33" t="n">
        <x:v>12</x:v>
      </x:c>
    </x:row>
    <x:row r="134">
      <x:c r="A134" s="33" t="n">
        <x:v>130</x:v>
      </x:c>
      <x:c r="B134" s="38" t="str">
        <x:v>Vegan bolognese</x:v>
      </x:c>
      <x:c r="C134" s="38" t="str">
        <x:v>Pâtes / végétarien</x:v>
      </x:c>
      <x:c r="D134" s="38" t="str">
        <x:v>lentilles ou protéines végétales, tomates, carotte, céleri, oignon, pâtes</x:v>
      </x:c>
      <x:c r="E134" s="33" t="n">
        <x:v>20</x:v>
      </x:c>
      <x:c r="F134" s="33" t="n">
        <x:v>45</x:v>
      </x:c>
      <x:c r="G134" s="56" t="n">
        <x:v>4.3</x:v>
      </x:c>
      <x:c r="H134" s="56" t="n">
        <x:v>4.5</x:v>
      </x:c>
      <x:c r="I134" s="33" t="n">
        <x:v>0</x:v>
      </x:c>
      <x:c r="J134" s="57" t="n">
        <x:v>6.8</x:v>
      </x:c>
      <x:c r="K134" s="57" t="n">
        <x:f>J134*'Hypothèses &amp; sources'!$E$4</x:f>
        <x:v>6.8</x:v>
      </x:c>
      <x:c r="L134" s="57" t="n">
        <x:f>J134*'Hypothèses &amp; sources'!$F$4</x:f>
        <x:v>7.208</x:v>
      </x:c>
      <x:c r="M134" s="57" t="n">
        <x:f>J134*'Hypothèses &amp; sources'!$G$4</x:f>
        <x:v>7.48</x:v>
      </x:c>
      <x:c r="N134" s="57" t="n">
        <x:f>J134*'Hypothèses &amp; sources'!$H$4</x:f>
        <x:v>7.548</x:v>
      </x:c>
      <x:c r="O134" s="57" t="n">
        <x:f>J134*'Hypothèses &amp; sources'!$I$4</x:f>
        <x:v>8.432</x:v>
      </x:c>
      <x:c r="P134" s="57" t="str">
        <x:v>Lidl</x:v>
      </x:c>
      <x:c r="Q134" s="57" t="n">
        <x:f>IF(P134="Lidl",K134,IF(P134="Super U",L134,IF(P134="Carrefour",M134,IF(P134="Auchan",N134,O134))))</x:f>
        <x:v>6.8</x:v>
      </x:c>
      <x:c r="R134" s="57" t="n">
        <x:f>Q134/'Hypothèses &amp; sources'!$B$4</x:f>
        <x:v>1.7</x:v>
      </x:c>
      <x:c r="S134" s="56" t="n">
        <x:f>MAX(0,'Hypothèses &amp; sources'!$B$5*MAX(0,MIN(100,'Hypothèses &amp; sources'!$B$10-R134*'Hypothèses &amp; sources'!$B$9))+'Hypothèses &amp; sources'!$B$6*(G134/5*100)+'Hypothèses &amp; sources'!$B$7*(H134/5*100)+'Hypothèses &amp; sources'!$B$8*MAX(0,MIN(100,'Hypothèses &amp; sources'!$B$12-E134*'Hypothèses &amp; sources'!$B$11))-T134)</x:f>
        <x:v>85.83200000000001</x:v>
      </x:c>
      <x:c r="T134" s="33" t="n">
        <x:v>0</x:v>
      </x:c>
    </x:row>
    <x:row r="135">
      <x:c r="A135" s="33" t="n">
        <x:v>131</x:v>
      </x:c>
      <x:c r="B135" s="38" t="str">
        <x:v>Tarte au cheeseburger facile</x:v>
      </x:c>
      <x:c r="C135" s="38" t="str">
        <x:v>Tourte / viande</x:v>
      </x:c>
      <x:c r="D135" s="38" t="str">
        <x:v>bœuf haché, pâte, fromage, oignon, cornichons</x:v>
      </x:c>
      <x:c r="E135" s="33" t="n">
        <x:v>20</x:v>
      </x:c>
      <x:c r="F135" s="33" t="n">
        <x:v>50</x:v>
      </x:c>
      <x:c r="G135" s="56" t="n">
        <x:v>4.7</x:v>
      </x:c>
      <x:c r="H135" s="56" t="n">
        <x:v>2.8</x:v>
      </x:c>
      <x:c r="I135" s="33" t="n">
        <x:v>0</x:v>
      </x:c>
      <x:c r="J135" s="57" t="n">
        <x:v>13</x:v>
      </x:c>
      <x:c r="K135" s="57" t="n">
        <x:f>J135*'Hypothèses &amp; sources'!$E$4</x:f>
        <x:v>13</x:v>
      </x:c>
      <x:c r="L135" s="57" t="n">
        <x:f>J135*'Hypothèses &amp; sources'!$F$4</x:f>
        <x:v>13.780000000000001</x:v>
      </x:c>
      <x:c r="M135" s="57" t="n">
        <x:f>J135*'Hypothèses &amp; sources'!$G$4</x:f>
        <x:v>14.3</x:v>
      </x:c>
      <x:c r="N135" s="57" t="n">
        <x:f>J135*'Hypothèses &amp; sources'!$H$4</x:f>
        <x:v>14.430000000000001</x:v>
      </x:c>
      <x:c r="O135" s="57" t="n">
        <x:f>J135*'Hypothèses &amp; sources'!$I$4</x:f>
        <x:v>16.12</x:v>
      </x:c>
      <x:c r="P135" s="57" t="str">
        <x:v>Lidl</x:v>
      </x:c>
      <x:c r="Q135" s="57" t="n">
        <x:f>IF(P135="Lidl",K135,IF(P135="Super U",L135,IF(P135="Carrefour",M135,IF(P135="Auchan",N135,O135))))</x:f>
        <x:v>13</x:v>
      </x:c>
      <x:c r="R135" s="57" t="n">
        <x:f>Q135/'Hypothèses &amp; sources'!$B$4</x:f>
        <x:v>3.25</x:v>
      </x:c>
      <x:c r="S135" s="56" t="n">
        <x:f>MAX(0,'Hypothèses &amp; sources'!$B$5*MAX(0,MIN(100,'Hypothèses &amp; sources'!$B$10-R135*'Hypothèses &amp; sources'!$B$9))+'Hypothèses &amp; sources'!$B$6*(G135/5*100)+'Hypothèses &amp; sources'!$B$7*(H135/5*100)+'Hypothèses &amp; sources'!$B$8*MAX(0,MIN(100,'Hypothèses &amp; sources'!$B$12-E135*'Hypothèses &amp; sources'!$B$11))-T135)</x:f>
        <x:v>74.14</x:v>
      </x:c>
      <x:c r="T135" s="33" t="n">
        <x:v>0</x:v>
      </x:c>
    </x:row>
    <x:row r="136">
      <x:c r="A136" s="33" t="n">
        <x:v>132</x:v>
      </x:c>
      <x:c r="B136" s="38" t="str">
        <x:v>Chili con carne</x:v>
      </x:c>
      <x:c r="C136" s="38" t="str">
        <x:v>Mijoté / chili</x:v>
      </x:c>
      <x:c r="D136" s="38" t="str">
        <x:v>bœuf haché, haricots rouges, tomates, oignon, épices chili</x:v>
      </x:c>
      <x:c r="E136" s="33" t="n">
        <x:v>20</x:v>
      </x:c>
      <x:c r="F136" s="33" t="n">
        <x:v>50</x:v>
      </x:c>
      <x:c r="G136" s="56" t="n">
        <x:v>5</x:v>
      </x:c>
      <x:c r="H136" s="56" t="n">
        <x:v>4.3</x:v>
      </x:c>
      <x:c r="I136" s="33" t="n">
        <x:v>0</x:v>
      </x:c>
      <x:c r="J136" s="57" t="n">
        <x:v>13.2</x:v>
      </x:c>
      <x:c r="K136" s="57" t="n">
        <x:f>J136*'Hypothèses &amp; sources'!$E$4</x:f>
        <x:v>13.2</x:v>
      </x:c>
      <x:c r="L136" s="57" t="n">
        <x:f>J136*'Hypothèses &amp; sources'!$F$4</x:f>
        <x:v>13.991999999999999</x:v>
      </x:c>
      <x:c r="M136" s="57" t="n">
        <x:f>J136*'Hypothèses &amp; sources'!$G$4</x:f>
        <x:v>14.52</x:v>
      </x:c>
      <x:c r="N136" s="57" t="n">
        <x:f>J136*'Hypothèses &amp; sources'!$H$4</x:f>
        <x:v>14.652000000000001</x:v>
      </x:c>
      <x:c r="O136" s="57" t="n">
        <x:f>J136*'Hypothèses &amp; sources'!$I$4</x:f>
        <x:v>16.368</x:v>
      </x:c>
      <x:c r="P136" s="57" t="str">
        <x:v>Lidl</x:v>
      </x:c>
      <x:c r="Q136" s="57" t="n">
        <x:f>IF(P136="Lidl",K136,IF(P136="Super U",L136,IF(P136="Carrefour",M136,IF(P136="Auchan",N136,O136))))</x:f>
        <x:v>13.2</x:v>
      </x:c>
      <x:c r="R136" s="57" t="n">
        <x:f>Q136/'Hypothèses &amp; sources'!$B$4</x:f>
        <x:v>3.3</x:v>
      </x:c>
      <x:c r="S136" s="56" t="n">
        <x:f>MAX(0,'Hypothèses &amp; sources'!$B$5*MAX(0,MIN(100,'Hypothèses &amp; sources'!$B$10-R136*'Hypothèses &amp; sources'!$B$9))+'Hypothèses &amp; sources'!$B$6*(G136/5*100)+'Hypothèses &amp; sources'!$B$7*(H136/5*100)+'Hypothèses &amp; sources'!$B$8*MAX(0,MIN(100,'Hypothèses &amp; sources'!$B$12-E136*'Hypothèses &amp; sources'!$B$11))-T136)</x:f>
        <x:v>80.968</x:v>
      </x:c>
      <x:c r="T136" s="33" t="n">
        <x:v>0</x:v>
      </x:c>
    </x:row>
    <x:row r="137">
      <x:c r="A137" s="33" t="n">
        <x:v>133</x:v>
      </x:c>
      <x:c r="B137" s="38" t="str">
        <x:v>Pain de viande</x:v>
      </x:c>
      <x:c r="C137" s="38" t="str">
        <x:v>Plat de viande</x:v>
      </x:c>
      <x:c r="D137" s="38" t="str">
        <x:v>bœuf haché, œufs, chapelure, oignon, sauce tomate</x:v>
      </x:c>
      <x:c r="E137" s="33" t="n">
        <x:v>20</x:v>
      </x:c>
      <x:c r="F137" s="33" t="n">
        <x:v>60</x:v>
      </x:c>
      <x:c r="G137" s="56" t="n">
        <x:v>4.6</x:v>
      </x:c>
      <x:c r="H137" s="56" t="n">
        <x:v>3.2</x:v>
      </x:c>
      <x:c r="I137" s="33" t="n">
        <x:v>0</x:v>
      </x:c>
      <x:c r="J137" s="57" t="n">
        <x:v>12.2</x:v>
      </x:c>
      <x:c r="K137" s="57" t="n">
        <x:f>J137*'Hypothèses &amp; sources'!$E$4</x:f>
        <x:v>12.2</x:v>
      </x:c>
      <x:c r="L137" s="57" t="n">
        <x:f>J137*'Hypothèses &amp; sources'!$F$4</x:f>
        <x:v>12.932</x:v>
      </x:c>
      <x:c r="M137" s="57" t="n">
        <x:f>J137*'Hypothèses &amp; sources'!$G$4</x:f>
        <x:v>13.42</x:v>
      </x:c>
      <x:c r="N137" s="57" t="n">
        <x:f>J137*'Hypothèses &amp; sources'!$H$4</x:f>
        <x:v>13.542</x:v>
      </x:c>
      <x:c r="O137" s="57" t="n">
        <x:f>J137*'Hypothèses &amp; sources'!$I$4</x:f>
        <x:v>15.127999999999998</x:v>
      </x:c>
      <x:c r="P137" s="57" t="str">
        <x:v>Lidl</x:v>
      </x:c>
      <x:c r="Q137" s="57" t="n">
        <x:f>IF(P137="Lidl",K137,IF(P137="Super U",L137,IF(P137="Carrefour",M137,IF(P137="Auchan",N137,O137))))</x:f>
        <x:v>12.2</x:v>
      </x:c>
      <x:c r="R137" s="57" t="n">
        <x:f>Q137/'Hypothèses &amp; sources'!$B$4</x:f>
        <x:v>3.05</x:v>
      </x:c>
      <x:c r="S137" s="56" t="n">
        <x:f>MAX(0,'Hypothèses &amp; sources'!$B$5*MAX(0,MIN(100,'Hypothèses &amp; sources'!$B$10-R137*'Hypothèses &amp; sources'!$B$9))+'Hypothèses &amp; sources'!$B$6*(G137/5*100)+'Hypothèses &amp; sources'!$B$7*(H137/5*100)+'Hypothèses &amp; sources'!$B$8*MAX(0,MIN(100,'Hypothèses &amp; sources'!$B$12-E137*'Hypothèses &amp; sources'!$B$11))-T137)</x:f>
        <x:v>76.028</x:v>
      </x:c>
      <x:c r="T137" s="33" t="n">
        <x:v>0</x:v>
      </x:c>
    </x:row>
    <x:row r="138">
      <x:c r="A138" s="33" t="n">
        <x:v>134</x:v>
      </x:c>
      <x:c r="B138" s="38" t="str">
        <x:v>Steamed ribs with glutinous rice</x:v>
      </x:c>
      <x:c r="C138" s="38" t="str">
        <x:v>Porc / riz</x:v>
      </x:c>
      <x:c r="D138" s="38" t="str">
        <x:v>travers de porc, riz gluant, sauce soja, gingembre, ciboule</x:v>
      </x:c>
      <x:c r="E138" s="33" t="n">
        <x:v>20</x:v>
      </x:c>
      <x:c r="F138" s="33" t="n">
        <x:v>60</x:v>
      </x:c>
      <x:c r="G138" s="56" t="n">
        <x:v>4.8</x:v>
      </x:c>
      <x:c r="H138" s="56" t="n">
        <x:v>3.3</x:v>
      </x:c>
      <x:c r="I138" s="33" t="n">
        <x:v>2</x:v>
      </x:c>
      <x:c r="J138" s="57" t="n">
        <x:v>12.5</x:v>
      </x:c>
      <x:c r="K138" s="57" t="n">
        <x:f>J138*'Hypothèses &amp; sources'!$E$4</x:f>
        <x:v>12.5</x:v>
      </x:c>
      <x:c r="L138" s="57" t="n">
        <x:f>J138*'Hypothèses &amp; sources'!$F$4</x:f>
        <x:v>13.25</x:v>
      </x:c>
      <x:c r="M138" s="57" t="n">
        <x:f>J138*'Hypothèses &amp; sources'!$G$4</x:f>
        <x:v>13.750000000000002</x:v>
      </x:c>
      <x:c r="N138" s="57" t="n">
        <x:f>J138*'Hypothèses &amp; sources'!$H$4</x:f>
        <x:v>13.875000000000002</x:v>
      </x:c>
      <x:c r="O138" s="57" t="n">
        <x:f>J138*'Hypothèses &amp; sources'!$I$4</x:f>
        <x:v>15.5</x:v>
      </x:c>
      <x:c r="P138" s="57" t="str">
        <x:v>Carrefour</x:v>
      </x:c>
      <x:c r="Q138" s="57" t="n">
        <x:f>IF(P138="Lidl",K138,IF(P138="Super U",L138,IF(P138="Carrefour",M138,IF(P138="Auchan",N138,O138))))</x:f>
        <x:v>13.750000000000002</x:v>
      </x:c>
      <x:c r="R138" s="57" t="n">
        <x:f>Q138/'Hypothèses &amp; sources'!$B$4</x:f>
        <x:v>3.4375000000000004</x:v>
      </x:c>
      <x:c r="S138" s="56" t="n">
        <x:f>MAX(0,'Hypothèses &amp; sources'!$B$5*MAX(0,MIN(100,'Hypothèses &amp; sources'!$B$10-R138*'Hypothèses &amp; sources'!$B$9))+'Hypothèses &amp; sources'!$B$6*(G138/5*100)+'Hypothèses &amp; sources'!$B$7*(H138/5*100)+'Hypothèses &amp; sources'!$B$8*MAX(0,MIN(100,'Hypothèses &amp; sources'!$B$12-E138*'Hypothèses &amp; sources'!$B$11))-T138)</x:f>
        <x:v>75.555</x:v>
      </x:c>
      <x:c r="T138" s="33" t="n">
        <x:v>0</x:v>
      </x:c>
    </x:row>
    <x:row r="139">
      <x:c r="A139" s="33" t="n">
        <x:v>135</x:v>
      </x:c>
      <x:c r="B139" s="38" t="str">
        <x:v>Soupe à l'ail roti</x:v>
      </x:c>
      <x:c r="C139" s="38" t="str">
        <x:v>Soupe / bouillon</x:v>
      </x:c>
      <x:c r="D139" s="38" t="str">
        <x:v>ail, bouillon, oignon, légumes</x:v>
      </x:c>
      <x:c r="E139" s="33" t="n">
        <x:v>20</x:v>
      </x:c>
      <x:c r="F139" s="33" t="n">
        <x:v>90</x:v>
      </x:c>
      <x:c r="G139" s="56" t="n">
        <x:v>3.2</x:v>
      </x:c>
      <x:c r="H139" s="56" t="n">
        <x:v>3.5</x:v>
      </x:c>
      <x:c r="I139" s="33" t="n">
        <x:v>0</x:v>
      </x:c>
      <x:c r="J139" s="57" t="n">
        <x:v>4</x:v>
      </x:c>
      <x:c r="K139" s="57" t="n">
        <x:f>J139*'Hypothèses &amp; sources'!$E$4</x:f>
        <x:v>4</x:v>
      </x:c>
      <x:c r="L139" s="57" t="n">
        <x:f>J139*'Hypothèses &amp; sources'!$F$4</x:f>
        <x:v>4.24</x:v>
      </x:c>
      <x:c r="M139" s="57" t="n">
        <x:f>J139*'Hypothèses &amp; sources'!$G$4</x:f>
        <x:v>4.4</x:v>
      </x:c>
      <x:c r="N139" s="57" t="n">
        <x:f>J139*'Hypothèses &amp; sources'!$H$4</x:f>
        <x:v>4.44</x:v>
      </x:c>
      <x:c r="O139" s="57" t="n">
        <x:f>J139*'Hypothèses &amp; sources'!$I$4</x:f>
        <x:v>4.96</x:v>
      </x:c>
      <x:c r="P139" s="57" t="str">
        <x:v>Lidl</x:v>
      </x:c>
      <x:c r="Q139" s="57" t="n">
        <x:f>IF(P139="Lidl",K139,IF(P139="Super U",L139,IF(P139="Carrefour",M139,IF(P139="Auchan",N139,O139))))</x:f>
        <x:v>4</x:v>
      </x:c>
      <x:c r="R139" s="57" t="n">
        <x:f>Q139/'Hypothèses &amp; sources'!$B$4</x:f>
        <x:v>1</x:v>
      </x:c>
      <x:c r="S139" s="56" t="n">
        <x:f>MAX(0,'Hypothèses &amp; sources'!$B$5*MAX(0,MIN(100,'Hypothèses &amp; sources'!$B$10-R139*'Hypothèses &amp; sources'!$B$9))+'Hypothèses &amp; sources'!$B$6*(G139/5*100)+'Hypothèses &amp; sources'!$B$7*(H139/5*100)+'Hypothèses &amp; sources'!$B$8*MAX(0,MIN(100,'Hypothèses &amp; sources'!$B$12-E139*'Hypothèses &amp; sources'!$B$11))-T139)</x:f>
        <x:v>79.6</x:v>
      </x:c>
      <x:c r="T139" s="33" t="n">
        <x:v>0</x:v>
      </x:c>
    </x:row>
    <x:row r="140">
      <x:c r="A140" s="33" t="n">
        <x:v>136</x:v>
      </x:c>
      <x:c r="B140" s="38" t="str">
        <x:v>Poivrons poblano rotis</x:v>
      </x:c>
      <x:c r="C140" s="38" t="str">
        <x:v>Plat complet</x:v>
      </x:c>
      <x:c r="D140" s="38" t="str">
        <x:v>poivrons, piments poblano</x:v>
      </x:c>
      <x:c r="E140" s="33" t="n">
        <x:v>20</x:v>
      </x:c>
      <x:c r="F140" s="33" t="n">
        <x:v>90</x:v>
      </x:c>
      <x:c r="G140" s="56" t="n">
        <x:v>3.2</x:v>
      </x:c>
      <x:c r="H140" s="56" t="n">
        <x:v>3.1</x:v>
      </x:c>
      <x:c r="I140" s="33" t="n">
        <x:v>2</x:v>
      </x:c>
      <x:c r="J140" s="57" t="n">
        <x:v>4.1</x:v>
      </x:c>
      <x:c r="K140" s="57" t="n">
        <x:f>J140*'Hypothèses &amp; sources'!$E$4</x:f>
        <x:v>4.1</x:v>
      </x:c>
      <x:c r="L140" s="57" t="n">
        <x:f>J140*'Hypothèses &amp; sources'!$F$4</x:f>
        <x:v>4.346</x:v>
      </x:c>
      <x:c r="M140" s="57" t="n">
        <x:f>J140*'Hypothèses &amp; sources'!$G$4</x:f>
        <x:v>4.51</x:v>
      </x:c>
      <x:c r="N140" s="57" t="n">
        <x:f>J140*'Hypothèses &amp; sources'!$H$4</x:f>
        <x:v>4.551</x:v>
      </x:c>
      <x:c r="O140" s="57" t="n">
        <x:f>J140*'Hypothèses &amp; sources'!$I$4</x:f>
        <x:v>5.084</x:v>
      </x:c>
      <x:c r="P140" s="57" t="str">
        <x:v>Carrefour</x:v>
      </x:c>
      <x:c r="Q140" s="57" t="n">
        <x:f>IF(P140="Lidl",K140,IF(P140="Super U",L140,IF(P140="Carrefour",M140,IF(P140="Auchan",N140,O140))))</x:f>
        <x:v>4.51</x:v>
      </x:c>
      <x:c r="R140" s="57" t="n">
        <x:f>Q140/'Hypothèses &amp; sources'!$B$4</x:f>
        <x:v>1.1275</x:v>
      </x:c>
      <x:c r="S140" s="56" t="n">
        <x:f>MAX(0,'Hypothèses &amp; sources'!$B$5*MAX(0,MIN(100,'Hypothèses &amp; sources'!$B$10-R140*'Hypothèses &amp; sources'!$B$9))+'Hypothèses &amp; sources'!$B$6*(G140/5*100)+'Hypothèses &amp; sources'!$B$7*(H140/5*100)+'Hypothèses &amp; sources'!$B$8*MAX(0,MIN(100,'Hypothèses &amp; sources'!$B$12-E140*'Hypothèses &amp; sources'!$B$11))-T140)</x:f>
        <x:v>77.5174</x:v>
      </x:c>
      <x:c r="T140" s="33" t="n">
        <x:v>0</x:v>
      </x:c>
    </x:row>
    <x:row r="141">
      <x:c r="A141" s="33" t="n">
        <x:v>137</x:v>
      </x:c>
      <x:c r="B141" s="38" t="str">
        <x:v>Paneer</x:v>
      </x:c>
      <x:c r="C141" s="38" t="str">
        <x:v>Fromage / accompagnement</x:v>
      </x:c>
      <x:c r="D141" s="38" t="str">
        <x:v>lait entier, citron</x:v>
      </x:c>
      <x:c r="E141" s="33" t="n">
        <x:v>20</x:v>
      </x:c>
      <x:c r="F141" s="33" t="n">
        <x:v>90</x:v>
      </x:c>
      <x:c r="G141" s="56" t="n">
        <x:v>3.5</x:v>
      </x:c>
      <x:c r="H141" s="56" t="n">
        <x:v>3.2</x:v>
      </x:c>
      <x:c r="I141" s="33" t="n">
        <x:v>1</x:v>
      </x:c>
      <x:c r="J141" s="57" t="n">
        <x:v>4.5</x:v>
      </x:c>
      <x:c r="K141" s="57" t="n">
        <x:f>J141*'Hypothèses &amp; sources'!$E$4</x:f>
        <x:v>4.5</x:v>
      </x:c>
      <x:c r="L141" s="57" t="n">
        <x:f>J141*'Hypothèses &amp; sources'!$F$4</x:f>
        <x:v>4.7700000000000005</x:v>
      </x:c>
      <x:c r="M141" s="57" t="n">
        <x:f>J141*'Hypothèses &amp; sources'!$G$4</x:f>
        <x:v>4.95</x:v>
      </x:c>
      <x:c r="N141" s="57" t="n">
        <x:f>J141*'Hypothèses &amp; sources'!$H$4</x:f>
        <x:v>4.995</x:v>
      </x:c>
      <x:c r="O141" s="57" t="n">
        <x:f>J141*'Hypothèses &amp; sources'!$I$4</x:f>
        <x:v>5.58</x:v>
      </x:c>
      <x:c r="P141" s="57" t="str">
        <x:v>Super U</x:v>
      </x:c>
      <x:c r="Q141" s="57" t="n">
        <x:f>IF(P141="Lidl",K141,IF(P141="Super U",L141,IF(P141="Carrefour",M141,IF(P141="Auchan",N141,O141))))</x:f>
        <x:v>4.7700000000000005</x:v>
      </x:c>
      <x:c r="R141" s="57" t="n">
        <x:f>Q141/'Hypothèses &amp; sources'!$B$4</x:f>
        <x:v>1.1925000000000001</x:v>
      </x:c>
      <x:c r="S141" s="56" t="n">
        <x:f>MAX(0,'Hypothèses &amp; sources'!$B$5*MAX(0,MIN(100,'Hypothèses &amp; sources'!$B$10-R141*'Hypothèses &amp; sources'!$B$9))+'Hypothèses &amp; sources'!$B$6*(G141/5*100)+'Hypothèses &amp; sources'!$B$7*(H141/5*100)+'Hypothèses &amp; sources'!$B$8*MAX(0,MIN(100,'Hypothèses &amp; sources'!$B$12-E141*'Hypothèses &amp; sources'!$B$11))-T141)</x:f>
        <x:v>71.2298</x:v>
      </x:c>
      <x:c r="T141" s="33" t="n">
        <x:v>8</x:v>
      </x:c>
    </x:row>
    <x:row r="142">
      <x:c r="A142" s="33" t="n">
        <x:v>138</x:v>
      </x:c>
      <x:c r="B142" s="38" t="str">
        <x:v>Country ribs</x:v>
      </x:c>
      <x:c r="C142" s="38" t="str">
        <x:v>Plat complet</x:v>
      </x:c>
      <x:c r="D142" s="38" t="str">
        <x:v>travers / ribs de porc</x:v>
      </x:c>
      <x:c r="E142" s="33" t="n">
        <x:v>20</x:v>
      </x:c>
      <x:c r="F142" s="33" t="n">
        <x:v>90</x:v>
      </x:c>
      <x:c r="G142" s="56" t="n">
        <x:v>3.9</x:v>
      </x:c>
      <x:c r="H142" s="56" t="n">
        <x:v>3.1</x:v>
      </x:c>
      <x:c r="I142" s="33" t="n">
        <x:v>0</x:v>
      </x:c>
      <x:c r="J142" s="57" t="n">
        <x:v>10.4</x:v>
      </x:c>
      <x:c r="K142" s="57" t="n">
        <x:f>J142*'Hypothèses &amp; sources'!$E$4</x:f>
        <x:v>10.4</x:v>
      </x:c>
      <x:c r="L142" s="57" t="n">
        <x:f>J142*'Hypothèses &amp; sources'!$F$4</x:f>
        <x:v>11.024000000000001</x:v>
      </x:c>
      <x:c r="M142" s="57" t="n">
        <x:f>J142*'Hypothèses &amp; sources'!$G$4</x:f>
        <x:v>11.440000000000001</x:v>
      </x:c>
      <x:c r="N142" s="57" t="n">
        <x:f>J142*'Hypothèses &amp; sources'!$H$4</x:f>
        <x:v>11.544000000000002</x:v>
      </x:c>
      <x:c r="O142" s="57" t="n">
        <x:f>J142*'Hypothèses &amp; sources'!$I$4</x:f>
        <x:v>12.896</x:v>
      </x:c>
      <x:c r="P142" s="57" t="str">
        <x:v>Lidl</x:v>
      </x:c>
      <x:c r="Q142" s="57" t="n">
        <x:f>IF(P142="Lidl",K142,IF(P142="Super U",L142,IF(P142="Carrefour",M142,IF(P142="Auchan",N142,O142))))</x:f>
        <x:v>10.4</x:v>
      </x:c>
      <x:c r="R142" s="57" t="n">
        <x:f>Q142/'Hypothèses &amp; sources'!$B$4</x:f>
        <x:v>2.6</x:v>
      </x:c>
      <x:c r="S142" s="56" t="n">
        <x:f>MAX(0,'Hypothèses &amp; sources'!$B$5*MAX(0,MIN(100,'Hypothèses &amp; sources'!$B$10-R142*'Hypothèses &amp; sources'!$B$9))+'Hypothèses &amp; sources'!$B$6*(G142/5*100)+'Hypothèses &amp; sources'!$B$7*(H142/5*100)+'Hypothèses &amp; sources'!$B$8*MAX(0,MIN(100,'Hypothèses &amp; sources'!$B$12-E142*'Hypothèses &amp; sources'!$B$11))-T142)</x:f>
        <x:v>74.016</x:v>
      </x:c>
      <x:c r="T142" s="33" t="n">
        <x:v>0</x:v>
      </x:c>
    </x:row>
    <x:row r="143">
      <x:c r="A143" s="33" t="n">
        <x:v>139</x:v>
      </x:c>
      <x:c r="B143" s="38" t="str">
        <x:v>Roasted poblano strips with cream tacos</x:v>
      </x:c>
      <x:c r="C143" s="38" t="str">
        <x:v>Tacos / sandwich</x:v>
      </x:c>
      <x:c r="D143" s="38" t="str">
        <x:v>tortillas ou pain, crudités, sauce, poivrons, crème / fromage, piments poblano</x:v>
      </x:c>
      <x:c r="E143" s="33" t="n">
        <x:v>20</x:v>
      </x:c>
      <x:c r="F143" s="33" t="n">
        <x:v>90</x:v>
      </x:c>
      <x:c r="G143" s="56" t="n">
        <x:v>3.5</x:v>
      </x:c>
      <x:c r="H143" s="56" t="n">
        <x:v>3</x:v>
      </x:c>
      <x:c r="I143" s="33" t="n">
        <x:v>2</x:v>
      </x:c>
      <x:c r="J143" s="57" t="n">
        <x:v>9.7</x:v>
      </x:c>
      <x:c r="K143" s="57" t="n">
        <x:f>J143*'Hypothèses &amp; sources'!$E$4</x:f>
        <x:v>9.7</x:v>
      </x:c>
      <x:c r="L143" s="57" t="n">
        <x:f>J143*'Hypothèses &amp; sources'!$F$4</x:f>
        <x:v>10.282</x:v>
      </x:c>
      <x:c r="M143" s="57" t="n">
        <x:f>J143*'Hypothèses &amp; sources'!$G$4</x:f>
        <x:v>10.67</x:v>
      </x:c>
      <x:c r="N143" s="57" t="n">
        <x:f>J143*'Hypothèses &amp; sources'!$H$4</x:f>
        <x:v>10.767</x:v>
      </x:c>
      <x:c r="O143" s="57" t="n">
        <x:f>J143*'Hypothèses &amp; sources'!$I$4</x:f>
        <x:v>12.027999999999999</x:v>
      </x:c>
      <x:c r="P143" s="57" t="str">
        <x:v>Carrefour</x:v>
      </x:c>
      <x:c r="Q143" s="57" t="n">
        <x:f>IF(P143="Lidl",K143,IF(P143="Super U",L143,IF(P143="Carrefour",M143,IF(P143="Auchan",N143,O143))))</x:f>
        <x:v>10.67</x:v>
      </x:c>
      <x:c r="R143" s="57" t="n">
        <x:f>Q143/'Hypothèses &amp; sources'!$B$4</x:f>
        <x:v>2.6675</x:v>
      </x:c>
      <x:c r="S143" s="56" t="n">
        <x:f>MAX(0,'Hypothèses &amp; sources'!$B$5*MAX(0,MIN(100,'Hypothèses &amp; sources'!$B$10-R143*'Hypothèses &amp; sources'!$B$9))+'Hypothèses &amp; sources'!$B$6*(G143/5*100)+'Hypothèses &amp; sources'!$B$7*(H143/5*100)+'Hypothèses &amp; sources'!$B$8*MAX(0,MIN(100,'Hypothèses &amp; sources'!$B$12-E143*'Hypothèses &amp; sources'!$B$11))-T143)</x:f>
        <x:v>71.0758</x:v>
      </x:c>
      <x:c r="T143" s="33" t="n">
        <x:v>0</x:v>
      </x:c>
    </x:row>
    <x:row r="144">
      <x:c r="A144" s="33" t="n">
        <x:v>140</x:v>
      </x:c>
      <x:c r="B144" s="38" t="str">
        <x:v>Joues de boeuf</x:v>
      </x:c>
      <x:c r="C144" s="38" t="str">
        <x:v>Plat complet</x:v>
      </x:c>
      <x:c r="D144" s="38" t="str">
        <x:v>joues de bœuf</x:v>
      </x:c>
      <x:c r="E144" s="33" t="n">
        <x:v>20</x:v>
      </x:c>
      <x:c r="F144" s="33" t="n">
        <x:v>90</x:v>
      </x:c>
      <x:c r="G144" s="56" t="n">
        <x:v>4.1</x:v>
      </x:c>
      <x:c r="H144" s="56" t="n">
        <x:v>3.1</x:v>
      </x:c>
      <x:c r="I144" s="33" t="n">
        <x:v>1</x:v>
      </x:c>
      <x:c r="J144" s="57" t="n">
        <x:v>14.9</x:v>
      </x:c>
      <x:c r="K144" s="57" t="n">
        <x:f>J144*'Hypothèses &amp; sources'!$E$4</x:f>
        <x:v>14.9</x:v>
      </x:c>
      <x:c r="L144" s="57" t="n">
        <x:f>J144*'Hypothèses &amp; sources'!$F$4</x:f>
        <x:v>15.794</x:v>
      </x:c>
      <x:c r="M144" s="57" t="n">
        <x:f>J144*'Hypothèses &amp; sources'!$G$4</x:f>
        <x:v>16.39</x:v>
      </x:c>
      <x:c r="N144" s="57" t="n">
        <x:f>J144*'Hypothèses &amp; sources'!$H$4</x:f>
        <x:v>16.539</x:v>
      </x:c>
      <x:c r="O144" s="57" t="n">
        <x:f>J144*'Hypothèses &amp; sources'!$I$4</x:f>
        <x:v>18.476</x:v>
      </x:c>
      <x:c r="P144" s="57" t="str">
        <x:v>Super U</x:v>
      </x:c>
      <x:c r="Q144" s="57" t="n">
        <x:f>IF(P144="Lidl",K144,IF(P144="Super U",L144,IF(P144="Carrefour",M144,IF(P144="Auchan",N144,O144))))</x:f>
        <x:v>15.794</x:v>
      </x:c>
      <x:c r="R144" s="57" t="n">
        <x:f>Q144/'Hypothèses &amp; sources'!$B$4</x:f>
        <x:v>3.9485</x:v>
      </x:c>
      <x:c r="S144" s="56" t="n">
        <x:f>MAX(0,'Hypothèses &amp; sources'!$B$5*MAX(0,MIN(100,'Hypothèses &amp; sources'!$B$10-R144*'Hypothèses &amp; sources'!$B$9))+'Hypothèses &amp; sources'!$B$6*(G144/5*100)+'Hypothèses &amp; sources'!$B$7*(H144/5*100)+'Hypothèses &amp; sources'!$B$8*MAX(0,MIN(100,'Hypothèses &amp; sources'!$B$12-E144*'Hypothèses &amp; sources'!$B$11))-T144)</x:f>
        <x:v>68.33955999999999</x:v>
      </x:c>
      <x:c r="T144" s="33" t="n">
        <x:v>0</x:v>
      </x:c>
    </x:row>
    <x:row r="145">
      <x:c r="A145" s="33" t="n">
        <x:v>141</x:v>
      </x:c>
      <x:c r="B145" s="38" t="str">
        <x:v>Roti de boeuf américain</x:v>
      </x:c>
      <x:c r="C145" s="38" t="str">
        <x:v>Plat complet</x:v>
      </x:c>
      <x:c r="D145" s="38" t="str">
        <x:v>rôti / pièce de bœuf</x:v>
      </x:c>
      <x:c r="E145" s="33" t="n">
        <x:v>20</x:v>
      </x:c>
      <x:c r="F145" s="33" t="n">
        <x:v>90</x:v>
      </x:c>
      <x:c r="G145" s="56" t="n">
        <x:v>4</x:v>
      </x:c>
      <x:c r="H145" s="56" t="n">
        <x:v>3.1</x:v>
      </x:c>
      <x:c r="I145" s="33" t="n">
        <x:v>0</x:v>
      </x:c>
      <x:c r="J145" s="57" t="n">
        <x:v>15.9</x:v>
      </x:c>
      <x:c r="K145" s="57" t="n">
        <x:f>J145*'Hypothèses &amp; sources'!$E$4</x:f>
        <x:v>15.9</x:v>
      </x:c>
      <x:c r="L145" s="57" t="n">
        <x:f>J145*'Hypothèses &amp; sources'!$F$4</x:f>
        <x:v>16.854000000000003</x:v>
      </x:c>
      <x:c r="M145" s="57" t="n">
        <x:f>J145*'Hypothèses &amp; sources'!$G$4</x:f>
        <x:v>17.490000000000002</x:v>
      </x:c>
      <x:c r="N145" s="57" t="n">
        <x:f>J145*'Hypothèses &amp; sources'!$H$4</x:f>
        <x:v>17.649</x:v>
      </x:c>
      <x:c r="O145" s="57" t="n">
        <x:f>J145*'Hypothèses &amp; sources'!$I$4</x:f>
        <x:v>19.716</x:v>
      </x:c>
      <x:c r="P145" s="57" t="str">
        <x:v>Lidl</x:v>
      </x:c>
      <x:c r="Q145" s="57" t="n">
        <x:f>IF(P145="Lidl",K145,IF(P145="Super U",L145,IF(P145="Carrefour",M145,IF(P145="Auchan",N145,O145))))</x:f>
        <x:v>15.9</x:v>
      </x:c>
      <x:c r="R145" s="57" t="n">
        <x:f>Q145/'Hypothèses &amp; sources'!$B$4</x:f>
        <x:v>3.975</x:v>
      </x:c>
      <x:c r="S145" s="56" t="n">
        <x:f>MAX(0,'Hypothèses &amp; sources'!$B$5*MAX(0,MIN(100,'Hypothèses &amp; sources'!$B$10-R145*'Hypothèses &amp; sources'!$B$9))+'Hypothèses &amp; sources'!$B$6*(G145/5*100)+'Hypothèses &amp; sources'!$B$7*(H145/5*100)+'Hypothèses &amp; sources'!$B$8*MAX(0,MIN(100,'Hypothèses &amp; sources'!$B$12-E145*'Hypothèses &amp; sources'!$B$11))-T145)</x:f>
        <x:v>67.646</x:v>
      </x:c>
      <x:c r="T145" s="33" t="n">
        <x:v>0</x:v>
      </x:c>
    </x:row>
    <x:row r="146">
      <x:c r="A146" s="33" t="n">
        <x:v>142</x:v>
      </x:c>
      <x:c r="B146" s="38" t="str">
        <x:v>Pot roast</x:v>
      </x:c>
      <x:c r="C146" s="38" t="str">
        <x:v>Mijoté / bœuf</x:v>
      </x:c>
      <x:c r="D146" s="38" t="str">
        <x:v>rôti de bœuf, pommes de terre, carottes, oignon, bouillon</x:v>
      </x:c>
      <x:c r="E146" s="33" t="n">
        <x:v>20</x:v>
      </x:c>
      <x:c r="F146" s="33" t="n">
        <x:v>90</x:v>
      </x:c>
      <x:c r="G146" s="56" t="n">
        <x:v>4.8</x:v>
      </x:c>
      <x:c r="H146" s="56" t="n">
        <x:v>4</x:v>
      </x:c>
      <x:c r="I146" s="33" t="n">
        <x:v>0</x:v>
      </x:c>
      <x:c r="J146" s="57" t="n">
        <x:v>18</x:v>
      </x:c>
      <x:c r="K146" s="57" t="n">
        <x:f>J146*'Hypothèses &amp; sources'!$E$4</x:f>
        <x:v>18</x:v>
      </x:c>
      <x:c r="L146" s="57" t="n">
        <x:f>J146*'Hypothèses &amp; sources'!$F$4</x:f>
        <x:v>19.080000000000002</x:v>
      </x:c>
      <x:c r="M146" s="57" t="n">
        <x:f>J146*'Hypothèses &amp; sources'!$G$4</x:f>
        <x:v>19.8</x:v>
      </x:c>
      <x:c r="N146" s="57" t="n">
        <x:f>J146*'Hypothèses &amp; sources'!$H$4</x:f>
        <x:v>19.98</x:v>
      </x:c>
      <x:c r="O146" s="57" t="n">
        <x:f>J146*'Hypothèses &amp; sources'!$I$4</x:f>
        <x:v>22.32</x:v>
      </x:c>
      <x:c r="P146" s="57" t="str">
        <x:v>Lidl</x:v>
      </x:c>
      <x:c r="Q146" s="57" t="n">
        <x:f>IF(P146="Lidl",K146,IF(P146="Super U",L146,IF(P146="Carrefour",M146,IF(P146="Auchan",N146,O146))))</x:f>
        <x:v>18</x:v>
      </x:c>
      <x:c r="R146" s="57" t="n">
        <x:f>Q146/'Hypothèses &amp; sources'!$B$4</x:f>
        <x:v>4.5</x:v>
      </x:c>
      <x:c r="S146" s="56" t="n">
        <x:f>MAX(0,'Hypothèses &amp; sources'!$B$5*MAX(0,MIN(100,'Hypothèses &amp; sources'!$B$10-R146*'Hypothèses &amp; sources'!$B$9))+'Hypothèses &amp; sources'!$B$6*(G146/5*100)+'Hypothèses &amp; sources'!$B$7*(H146/5*100)+'Hypothèses &amp; sources'!$B$8*MAX(0,MIN(100,'Hypothèses &amp; sources'!$B$12-E146*'Hypothèses &amp; sources'!$B$11))-T146)</x:f>
        <x:v>72.72000000000001</x:v>
      </x:c>
      <x:c r="T146" s="33" t="n">
        <x:v>0</x:v>
      </x:c>
    </x:row>
    <x:row r="147">
      <x:c r="A147" s="33" t="n">
        <x:v>143</x:v>
      </x:c>
      <x:c r="B147" s="38" t="str">
        <x:v>Roti de boeuf en cocotte la double moutarde et aux cornichons à l'aneth</x:v>
      </x:c>
      <x:c r="C147" s="38" t="str">
        <x:v>Plat complet</x:v>
      </x:c>
      <x:c r="D147" s="38" t="str">
        <x:v>maïs, rôti / pièce de bœuf, moutarde</x:v>
      </x:c>
      <x:c r="E147" s="33" t="n">
        <x:v>20</x:v>
      </x:c>
      <x:c r="F147" s="33" t="n">
        <x:v>90</x:v>
      </x:c>
      <x:c r="G147" s="56" t="n">
        <x:v>4</x:v>
      </x:c>
      <x:c r="H147" s="56" t="n">
        <x:v>3.1</x:v>
      </x:c>
      <x:c r="I147" s="33" t="n">
        <x:v>0</x:v>
      </x:c>
      <x:c r="J147" s="57" t="n">
        <x:v>18.1</x:v>
      </x:c>
      <x:c r="K147" s="57" t="n">
        <x:f>J147*'Hypothèses &amp; sources'!$E$4</x:f>
        <x:v>18.1</x:v>
      </x:c>
      <x:c r="L147" s="57" t="n">
        <x:f>J147*'Hypothèses &amp; sources'!$F$4</x:f>
        <x:v>19.186000000000003</x:v>
      </x:c>
      <x:c r="M147" s="57" t="n">
        <x:f>J147*'Hypothèses &amp; sources'!$G$4</x:f>
        <x:v>19.910000000000004</x:v>
      </x:c>
      <x:c r="N147" s="57" t="n">
        <x:f>J147*'Hypothèses &amp; sources'!$H$4</x:f>
        <x:v>20.091000000000005</x:v>
      </x:c>
      <x:c r="O147" s="57" t="n">
        <x:f>J147*'Hypothèses &amp; sources'!$I$4</x:f>
        <x:v>22.444000000000003</x:v>
      </x:c>
      <x:c r="P147" s="57" t="str">
        <x:v>Lidl</x:v>
      </x:c>
      <x:c r="Q147" s="57" t="n">
        <x:f>IF(P147="Lidl",K147,IF(P147="Super U",L147,IF(P147="Carrefour",M147,IF(P147="Auchan",N147,O147))))</x:f>
        <x:v>18.1</x:v>
      </x:c>
      <x:c r="R147" s="57" t="n">
        <x:f>Q147/'Hypothèses &amp; sources'!$B$4</x:f>
        <x:v>4.525</x:v>
      </x:c>
      <x:c r="S147" s="56" t="n">
        <x:f>MAX(0,'Hypothèses &amp; sources'!$B$5*MAX(0,MIN(100,'Hypothèses &amp; sources'!$B$10-R147*'Hypothèses &amp; sources'!$B$9))+'Hypothèses &amp; sources'!$B$6*(G147/5*100)+'Hypothèses &amp; sources'!$B$7*(H147/5*100)+'Hypothèses &amp; sources'!$B$8*MAX(0,MIN(100,'Hypothèses &amp; sources'!$B$12-E147*'Hypothèses &amp; sources'!$B$11))-T147)</x:f>
        <x:v>64.874</x:v>
      </x:c>
      <x:c r="T147" s="33" t="n">
        <x:v>0</x:v>
      </x:c>
    </x:row>
    <x:row r="148">
      <x:c r="A148" s="33" t="n">
        <x:v>144</x:v>
      </x:c>
      <x:c r="B148" s="38" t="str">
        <x:v>Brisket with gravy</x:v>
      </x:c>
      <x:c r="C148" s="38" t="str">
        <x:v>Plat complet</x:v>
      </x:c>
      <x:c r="D148" s="38" t="str">
        <x:v>poitrine de bœuf / brisket</x:v>
      </x:c>
      <x:c r="E148" s="33" t="n">
        <x:v>20</x:v>
      </x:c>
      <x:c r="F148" s="33" t="n">
        <x:v>90</x:v>
      </x:c>
      <x:c r="G148" s="56" t="n">
        <x:v>4.1</x:v>
      </x:c>
      <x:c r="H148" s="56" t="n">
        <x:v>3.1</x:v>
      </x:c>
      <x:c r="I148" s="33" t="n">
        <x:v>1</x:v>
      </x:c>
      <x:c r="J148" s="57" t="n">
        <x:v>17.9</x:v>
      </x:c>
      <x:c r="K148" s="57" t="n">
        <x:f>J148*'Hypothèses &amp; sources'!$E$4</x:f>
        <x:v>17.9</x:v>
      </x:c>
      <x:c r="L148" s="57" t="n">
        <x:f>J148*'Hypothèses &amp; sources'!$F$4</x:f>
        <x:v>18.974</x:v>
      </x:c>
      <x:c r="M148" s="57" t="n">
        <x:f>J148*'Hypothèses &amp; sources'!$G$4</x:f>
        <x:v>19.69</x:v>
      </x:c>
      <x:c r="N148" s="57" t="n">
        <x:f>J148*'Hypothèses &amp; sources'!$H$4</x:f>
        <x:v>19.869</x:v>
      </x:c>
      <x:c r="O148" s="57" t="n">
        <x:f>J148*'Hypothèses &amp; sources'!$I$4</x:f>
        <x:v>22.195999999999998</x:v>
      </x:c>
      <x:c r="P148" s="57" t="str">
        <x:v>Super U</x:v>
      </x:c>
      <x:c r="Q148" s="57" t="n">
        <x:f>IF(P148="Lidl",K148,IF(P148="Super U",L148,IF(P148="Carrefour",M148,IF(P148="Auchan",N148,O148))))</x:f>
        <x:v>18.974</x:v>
      </x:c>
      <x:c r="R148" s="57" t="n">
        <x:f>Q148/'Hypothèses &amp; sources'!$B$4</x:f>
        <x:v>4.7435</x:v>
      </x:c>
      <x:c r="S148" s="56" t="n">
        <x:f>MAX(0,'Hypothèses &amp; sources'!$B$5*MAX(0,MIN(100,'Hypothèses &amp; sources'!$B$10-R148*'Hypothèses &amp; sources'!$B$9))+'Hypothèses &amp; sources'!$B$6*(G148/5*100)+'Hypothèses &amp; sources'!$B$7*(H148/5*100)+'Hypothèses &amp; sources'!$B$8*MAX(0,MIN(100,'Hypothèses &amp; sources'!$B$12-E148*'Hypothèses &amp; sources'!$B$11))-T148)</x:f>
        <x:v>64.33276000000001</x:v>
      </x:c>
      <x:c r="T148" s="33" t="n">
        <x:v>0</x:v>
      </x:c>
    </x:row>
    <x:row r="149">
      <x:c r="A149" s="33" t="n">
        <x:v>145</x:v>
      </x:c>
      <x:c r="B149" s="38" t="str">
        <x:v>Venison roast</x:v>
      </x:c>
      <x:c r="C149" s="38" t="str">
        <x:v>Plat complet</x:v>
      </x:c>
      <x:c r="D149" s="38" t="str">
        <x:v>venaison</x:v>
      </x:c>
      <x:c r="E149" s="33" t="n">
        <x:v>20</x:v>
      </x:c>
      <x:c r="F149" s="33" t="n">
        <x:v>90</x:v>
      </x:c>
      <x:c r="G149" s="56" t="n">
        <x:v>3.9</x:v>
      </x:c>
      <x:c r="H149" s="56" t="n">
        <x:v>3.5</x:v>
      </x:c>
      <x:c r="I149" s="33" t="n">
        <x:v>2</x:v>
      </x:c>
      <x:c r="J149" s="57" t="n">
        <x:v>19.9</x:v>
      </x:c>
      <x:c r="K149" s="57" t="n">
        <x:f>J149*'Hypothèses &amp; sources'!$E$4</x:f>
        <x:v>19.9</x:v>
      </x:c>
      <x:c r="L149" s="57" t="n">
        <x:f>J149*'Hypothèses &amp; sources'!$F$4</x:f>
        <x:v>21.094</x:v>
      </x:c>
      <x:c r="M149" s="57" t="n">
        <x:f>J149*'Hypothèses &amp; sources'!$G$4</x:f>
        <x:v>21.89</x:v>
      </x:c>
      <x:c r="N149" s="57" t="n">
        <x:f>J149*'Hypothèses &amp; sources'!$H$4</x:f>
        <x:v>22.089</x:v>
      </x:c>
      <x:c r="O149" s="57" t="n">
        <x:f>J149*'Hypothèses &amp; sources'!$I$4</x:f>
        <x:v>24.676</x:v>
      </x:c>
      <x:c r="P149" s="57" t="str">
        <x:v>Carrefour</x:v>
      </x:c>
      <x:c r="Q149" s="57" t="n">
        <x:f>IF(P149="Lidl",K149,IF(P149="Super U",L149,IF(P149="Carrefour",M149,IF(P149="Auchan",N149,O149))))</x:f>
        <x:v>21.89</x:v>
      </x:c>
      <x:c r="R149" s="57" t="n">
        <x:f>Q149/'Hypothèses &amp; sources'!$B$4</x:f>
        <x:v>5.4725</x:v>
      </x:c>
      <x:c r="S149" s="56" t="n">
        <x:f>MAX(0,'Hypothèses &amp; sources'!$B$5*MAX(0,MIN(100,'Hypothèses &amp; sources'!$B$10-R149*'Hypothèses &amp; sources'!$B$9))+'Hypothèses &amp; sources'!$B$6*(G149/5*100)+'Hypothèses &amp; sources'!$B$7*(H149/5*100)+'Hypothèses &amp; sources'!$B$8*MAX(0,MIN(100,'Hypothèses &amp; sources'!$B$12-E149*'Hypothèses &amp; sources'!$B$11))-T149)</x:f>
        <x:v>60.97860000000001</x:v>
      </x:c>
      <x:c r="T149" s="33" t="n">
        <x:v>0</x:v>
      </x:c>
    </x:row>
    <x:row r="150">
      <x:c r="A150" s="33" t="n">
        <x:v>146</x:v>
      </x:c>
      <x:c r="B150" s="38" t="str">
        <x:v>Jarrets d'agneau</x:v>
      </x:c>
      <x:c r="C150" s="38" t="str">
        <x:v>Plat complet</x:v>
      </x:c>
      <x:c r="D150" s="38" t="str">
        <x:v>jarrets d’agneau</x:v>
      </x:c>
      <x:c r="E150" s="33" t="n">
        <x:v>20</x:v>
      </x:c>
      <x:c r="F150" s="33" t="n">
        <x:v>90</x:v>
      </x:c>
      <x:c r="G150" s="56" t="n">
        <x:v>4</x:v>
      </x:c>
      <x:c r="H150" s="56" t="n">
        <x:v>3.1</x:v>
      </x:c>
      <x:c r="I150" s="33" t="n">
        <x:v>1</x:v>
      </x:c>
      <x:c r="J150" s="57" t="n">
        <x:v>20.9</x:v>
      </x:c>
      <x:c r="K150" s="57" t="n">
        <x:f>J150*'Hypothèses &amp; sources'!$E$4</x:f>
        <x:v>20.9</x:v>
      </x:c>
      <x:c r="L150" s="57" t="n">
        <x:f>J150*'Hypothèses &amp; sources'!$F$4</x:f>
        <x:v>22.154</x:v>
      </x:c>
      <x:c r="M150" s="57" t="n">
        <x:f>J150*'Hypothèses &amp; sources'!$G$4</x:f>
        <x:v>22.990000000000002</x:v>
      </x:c>
      <x:c r="N150" s="57" t="n">
        <x:f>J150*'Hypothèses &amp; sources'!$H$4</x:f>
        <x:v>23.199</x:v>
      </x:c>
      <x:c r="O150" s="57" t="n">
        <x:f>J150*'Hypothèses &amp; sources'!$I$4</x:f>
        <x:v>25.915999999999997</x:v>
      </x:c>
      <x:c r="P150" s="57" t="str">
        <x:v>Carrefour</x:v>
      </x:c>
      <x:c r="Q150" s="57" t="n">
        <x:f>IF(P150="Lidl",K150,IF(P150="Super U",L150,IF(P150="Carrefour",M150,IF(P150="Auchan",N150,O150))))</x:f>
        <x:v>22.990000000000002</x:v>
      </x:c>
      <x:c r="R150" s="57" t="n">
        <x:f>Q150/'Hypothèses &amp; sources'!$B$4</x:f>
        <x:v>5.7475000000000005</x:v>
      </x:c>
      <x:c r="S150" s="56" t="n">
        <x:f>MAX(0,'Hypothèses &amp; sources'!$B$5*MAX(0,MIN(100,'Hypothèses &amp; sources'!$B$10-R150*'Hypothèses &amp; sources'!$B$9))+'Hypothèses &amp; sources'!$B$6*(G150/5*100)+'Hypothèses &amp; sources'!$B$7*(H150/5*100)+'Hypothèses &amp; sources'!$B$8*MAX(0,MIN(100,'Hypothèses &amp; sources'!$B$12-E150*'Hypothèses &amp; sources'!$B$11))-T150)</x:f>
        <x:v>58.71260000000001</x:v>
      </x:c>
      <x:c r="T150" s="33" t="n">
        <x:v>0</x:v>
      </x:c>
    </x:row>
    <x:row r="151">
      <x:c r="A151" s="33" t="n">
        <x:v>147</x:v>
      </x:c>
      <x:c r="B151" s="38" t="str">
        <x:v>Limoncello</x:v>
      </x:c>
      <x:c r="C151" s="38" t="str">
        <x:v>Boisson / liqueur</x:v>
      </x:c>
      <x:c r="D151" s="38" t="str">
        <x:v>citrons, sucre, alcool neutre</x:v>
      </x:c>
      <x:c r="E151" s="33" t="n">
        <x:v>20</x:v>
      </x:c>
      <x:c r="F151" s="33" t="n">
        <x:v>10080</x:v>
      </x:c>
      <x:c r="G151" s="56" t="n">
        <x:v>0.5</x:v>
      </x:c>
      <x:c r="H151" s="56" t="n">
        <x:v>1</x:v>
      </x:c>
      <x:c r="I151" s="33" t="n">
        <x:v>1</x:v>
      </x:c>
      <x:c r="J151" s="57" t="n">
        <x:v>12</x:v>
      </x:c>
      <x:c r="K151" s="57" t="n">
        <x:f>J151*'Hypothèses &amp; sources'!$E$4</x:f>
        <x:v>12</x:v>
      </x:c>
      <x:c r="L151" s="57" t="n">
        <x:f>J151*'Hypothèses &amp; sources'!$F$4</x:f>
        <x:v>12.72</x:v>
      </x:c>
      <x:c r="M151" s="57" t="n">
        <x:f>J151*'Hypothèses &amp; sources'!$G$4</x:f>
        <x:v>13.200000000000001</x:v>
      </x:c>
      <x:c r="N151" s="57" t="n">
        <x:f>J151*'Hypothèses &amp; sources'!$H$4</x:f>
        <x:v>13.32</x:v>
      </x:c>
      <x:c r="O151" s="57" t="n">
        <x:f>J151*'Hypothèses &amp; sources'!$I$4</x:f>
        <x:v>14.879999999999999</x:v>
      </x:c>
      <x:c r="P151" s="57" t="str">
        <x:v>Super U</x:v>
      </x:c>
      <x:c r="Q151" s="57" t="n">
        <x:f>IF(P151="Lidl",K151,IF(P151="Super U",L151,IF(P151="Carrefour",M151,IF(P151="Auchan",N151,O151))))</x:f>
        <x:v>12.72</x:v>
      </x:c>
      <x:c r="R151" s="57" t="n">
        <x:f>Q151/'Hypothèses &amp; sources'!$B$4</x:f>
        <x:v>3.18</x:v>
      </x:c>
      <x:c r="S151" s="56" t="n">
        <x:f>MAX(0,'Hypothèses &amp; sources'!$B$5*MAX(0,MIN(100,'Hypothèses &amp; sources'!$B$10-R151*'Hypothèses &amp; sources'!$B$9))+'Hypothèses &amp; sources'!$B$6*(G151/5*100)+'Hypothèses &amp; sources'!$B$7*(H151/5*100)+'Hypothèses &amp; sources'!$B$8*MAX(0,MIN(100,'Hypothèses &amp; sources'!$B$12-E151*'Hypothèses &amp; sources'!$B$11))-T151)</x:f>
        <x:v>19.492800000000003</x:v>
      </x:c>
      <x:c r="T151" s="33" t="n">
        <x:v>25</x:v>
      </x:c>
    </x:row>
    <x:row r="152">
      <x:c r="A152" s="33" t="n">
        <x:v>148</x:v>
      </x:c>
      <x:c r="B152" s="38" t="str">
        <x:v>Vietnamese sandwich / banh mi</x:v>
      </x:c>
      <x:c r="C152" s="38" t="str">
        <x:v>Sandwich</x:v>
      </x:c>
      <x:c r="D152" s="38" t="str">
        <x:v>baguette, porc ou poulet, carotte, concombre, coriandre, sauce</x:v>
      </x:c>
      <x:c r="E152" s="33" t="n">
        <x:v>25</x:v>
      </x:c>
      <x:c r="F152" s="33" t="n">
        <x:v>40</x:v>
      </x:c>
      <x:c r="G152" s="56" t="n">
        <x:v>4</x:v>
      </x:c>
      <x:c r="H152" s="56" t="n">
        <x:v>4</x:v>
      </x:c>
      <x:c r="I152" s="33" t="n">
        <x:v>1</x:v>
      </x:c>
      <x:c r="J152" s="57" t="n">
        <x:v>9</x:v>
      </x:c>
      <x:c r="K152" s="57" t="n">
        <x:f>J152*'Hypothèses &amp; sources'!$E$4</x:f>
        <x:v>9</x:v>
      </x:c>
      <x:c r="L152" s="57" t="n">
        <x:f>J152*'Hypothèses &amp; sources'!$F$4</x:f>
        <x:v>9.540000000000001</x:v>
      </x:c>
      <x:c r="M152" s="57" t="n">
        <x:f>J152*'Hypothèses &amp; sources'!$G$4</x:f>
        <x:v>9.9</x:v>
      </x:c>
      <x:c r="N152" s="57" t="n">
        <x:f>J152*'Hypothèses &amp; sources'!$H$4</x:f>
        <x:v>9.99</x:v>
      </x:c>
      <x:c r="O152" s="57" t="n">
        <x:f>J152*'Hypothèses &amp; sources'!$I$4</x:f>
        <x:v>11.16</x:v>
      </x:c>
      <x:c r="P152" s="57" t="str">
        <x:v>Super U</x:v>
      </x:c>
      <x:c r="Q152" s="57" t="n">
        <x:f>IF(P152="Lidl",K152,IF(P152="Super U",L152,IF(P152="Carrefour",M152,IF(P152="Auchan",N152,O152))))</x:f>
        <x:v>9.540000000000001</x:v>
      </x:c>
      <x:c r="R152" s="57" t="n">
        <x:f>Q152/'Hypothèses &amp; sources'!$B$4</x:f>
        <x:v>2.3850000000000002</x:v>
      </x:c>
      <x:c r="S152" s="56" t="n">
        <x:f>MAX(0,'Hypothèses &amp; sources'!$B$5*MAX(0,MIN(100,'Hypothèses &amp; sources'!$B$10-R152*'Hypothèses &amp; sources'!$B$9))+'Hypothèses &amp; sources'!$B$6*(G152/5*100)+'Hypothèses &amp; sources'!$B$7*(H152/5*100)+'Hypothèses &amp; sources'!$B$8*MAX(0,MIN(100,'Hypothèses &amp; sources'!$B$12-E152*'Hypothèses &amp; sources'!$B$11))-T152)</x:f>
        <x:v>77.5796</x:v>
      </x:c>
      <x:c r="T152" s="33" t="n">
        <x:v>0</x:v>
      </x:c>
    </x:row>
    <x:row r="153">
      <x:c r="A153" s="33" t="n">
        <x:v>149</x:v>
      </x:c>
      <x:c r="B153" s="38" t="str">
        <x:v>One-pot chicken pad Thai</x:v>
      </x:c>
      <x:c r="C153" s="38" t="str">
        <x:v>Nouilles / poulet</x:v>
      </x:c>
      <x:c r="D153" s="38" t="str">
        <x:v>nouilles de riz, poulet, œufs, pousses de soja, cacahuètes, citron vert, sauce de poisson</x:v>
      </x:c>
      <x:c r="E153" s="33" t="n">
        <x:v>25</x:v>
      </x:c>
      <x:c r="F153" s="33" t="n">
        <x:v>40</x:v>
      </x:c>
      <x:c r="G153" s="56" t="n">
        <x:v>4.6</x:v>
      </x:c>
      <x:c r="H153" s="56" t="n">
        <x:v>4</x:v>
      </x:c>
      <x:c r="I153" s="33" t="n">
        <x:v>2</x:v>
      </x:c>
      <x:c r="J153" s="57" t="n">
        <x:v>12.2</x:v>
      </x:c>
      <x:c r="K153" s="57" t="n">
        <x:f>J153*'Hypothèses &amp; sources'!$E$4</x:f>
        <x:v>12.2</x:v>
      </x:c>
      <x:c r="L153" s="57" t="n">
        <x:f>J153*'Hypothèses &amp; sources'!$F$4</x:f>
        <x:v>12.932</x:v>
      </x:c>
      <x:c r="M153" s="57" t="n">
        <x:f>J153*'Hypothèses &amp; sources'!$G$4</x:f>
        <x:v>13.42</x:v>
      </x:c>
      <x:c r="N153" s="57" t="n">
        <x:f>J153*'Hypothèses &amp; sources'!$H$4</x:f>
        <x:v>13.542</x:v>
      </x:c>
      <x:c r="O153" s="57" t="n">
        <x:f>J153*'Hypothèses &amp; sources'!$I$4</x:f>
        <x:v>15.127999999999998</x:v>
      </x:c>
      <x:c r="P153" s="57" t="str">
        <x:v>Carrefour</x:v>
      </x:c>
      <x:c r="Q153" s="57" t="n">
        <x:f>IF(P153="Lidl",K153,IF(P153="Super U",L153,IF(P153="Carrefour",M153,IF(P153="Auchan",N153,O153))))</x:f>
        <x:v>13.42</x:v>
      </x:c>
      <x:c r="R153" s="57" t="n">
        <x:f>Q153/'Hypothèses &amp; sources'!$B$4</x:f>
        <x:v>3.355</x:v>
      </x:c>
      <x:c r="S153" s="56" t="n">
        <x:f>MAX(0,'Hypothèses &amp; sources'!$B$5*MAX(0,MIN(100,'Hypothèses &amp; sources'!$B$10-R153*'Hypothèses &amp; sources'!$B$9))+'Hypothèses &amp; sources'!$B$6*(G153/5*100)+'Hypothèses &amp; sources'!$B$7*(H153/5*100)+'Hypothèses &amp; sources'!$B$8*MAX(0,MIN(100,'Hypothèses &amp; sources'!$B$12-E153*'Hypothèses &amp; sources'!$B$11))-T153)</x:f>
        <x:v>76.05080000000001</x:v>
      </x:c>
      <x:c r="T153" s="33" t="n">
        <x:v>0</x:v>
      </x:c>
    </x:row>
    <x:row r="154">
      <x:c r="A154" s="33" t="n">
        <x:v>150</x:v>
      </x:c>
      <x:c r="B154" s="38" t="str">
        <x:v>One-pot bibimbap</x:v>
      </x:c>
      <x:c r="C154" s="38" t="str">
        <x:v>Riz / bœuf</x:v>
      </x:c>
      <x:c r="D154" s="38" t="str">
        <x:v>riz, bœuf haché, légumes, œuf, gochujang, sauce soja, sésame</x:v>
      </x:c>
      <x:c r="E154" s="33" t="n">
        <x:v>25</x:v>
      </x:c>
      <x:c r="F154" s="33" t="n">
        <x:v>40</x:v>
      </x:c>
      <x:c r="G154" s="56" t="n">
        <x:v>4.8</x:v>
      </x:c>
      <x:c r="H154" s="56" t="n">
        <x:v>4.4</x:v>
      </x:c>
      <x:c r="I154" s="33" t="n">
        <x:v>2</x:v>
      </x:c>
      <x:c r="J154" s="57" t="n">
        <x:v>13.5</x:v>
      </x:c>
      <x:c r="K154" s="57" t="n">
        <x:f>J154*'Hypothèses &amp; sources'!$E$4</x:f>
        <x:v>13.5</x:v>
      </x:c>
      <x:c r="L154" s="57" t="n">
        <x:f>J154*'Hypothèses &amp; sources'!$F$4</x:f>
        <x:v>14.31</x:v>
      </x:c>
      <x:c r="M154" s="57" t="n">
        <x:f>J154*'Hypothèses &amp; sources'!$G$4</x:f>
        <x:v>14.850000000000001</x:v>
      </x:c>
      <x:c r="N154" s="57" t="n">
        <x:f>J154*'Hypothèses &amp; sources'!$H$4</x:f>
        <x:v>14.985000000000001</x:v>
      </x:c>
      <x:c r="O154" s="57" t="n">
        <x:f>J154*'Hypothèses &amp; sources'!$I$4</x:f>
        <x:v>16.74</x:v>
      </x:c>
      <x:c r="P154" s="57" t="str">
        <x:v>Carrefour</x:v>
      </x:c>
      <x:c r="Q154" s="57" t="n">
        <x:f>IF(P154="Lidl",K154,IF(P154="Super U",L154,IF(P154="Carrefour",M154,IF(P154="Auchan",N154,O154))))</x:f>
        <x:v>14.850000000000001</x:v>
      </x:c>
      <x:c r="R154" s="57" t="n">
        <x:f>Q154/'Hypothèses &amp; sources'!$B$4</x:f>
        <x:v>3.7125000000000004</x:v>
      </x:c>
      <x:c r="S154" s="56" t="n">
        <x:f>MAX(0,'Hypothèses &amp; sources'!$B$5*MAX(0,MIN(100,'Hypothèses &amp; sources'!$B$10-R154*'Hypothèses &amp; sources'!$B$9))+'Hypothèses &amp; sources'!$B$6*(G154/5*100)+'Hypothèses &amp; sources'!$B$7*(H154/5*100)+'Hypothèses &amp; sources'!$B$8*MAX(0,MIN(100,'Hypothèses &amp; sources'!$B$12-E154*'Hypothèses &amp; sources'!$B$11))-T154)</x:f>
        <x:v>76.809</x:v>
      </x:c>
      <x:c r="T154" s="33" t="n">
        <x:v>0</x:v>
      </x:c>
    </x:row>
    <x:row r="155">
      <x:c r="A155" s="33" t="n">
        <x:v>151</x:v>
      </x:c>
      <x:c r="B155" s="38" t="str">
        <x:v>Scotch eggs</x:v>
      </x:c>
      <x:c r="C155" s="38" t="str">
        <x:v>Œufs / viande</x:v>
      </x:c>
      <x:c r="D155" s="38" t="str">
        <x:v>œufs, chair à saucisse, chapelure, farine</x:v>
      </x:c>
      <x:c r="E155" s="33" t="n">
        <x:v>25</x:v>
      </x:c>
      <x:c r="F155" s="33" t="n">
        <x:v>45</x:v>
      </x:c>
      <x:c r="G155" s="56" t="n">
        <x:v>4.5</x:v>
      </x:c>
      <x:c r="H155" s="56" t="n">
        <x:v>2.8</x:v>
      </x:c>
      <x:c r="I155" s="33" t="n">
        <x:v>0</x:v>
      </x:c>
      <x:c r="J155" s="57" t="n">
        <x:v>8</x:v>
      </x:c>
      <x:c r="K155" s="57" t="n">
        <x:f>J155*'Hypothèses &amp; sources'!$E$4</x:f>
        <x:v>8</x:v>
      </x:c>
      <x:c r="L155" s="57" t="n">
        <x:f>J155*'Hypothèses &amp; sources'!$F$4</x:f>
        <x:v>8.48</x:v>
      </x:c>
      <x:c r="M155" s="57" t="n">
        <x:f>J155*'Hypothèses &amp; sources'!$G$4</x:f>
        <x:v>8.8</x:v>
      </x:c>
      <x:c r="N155" s="57" t="n">
        <x:f>J155*'Hypothèses &amp; sources'!$H$4</x:f>
        <x:v>8.88</x:v>
      </x:c>
      <x:c r="O155" s="57" t="n">
        <x:f>J155*'Hypothèses &amp; sources'!$I$4</x:f>
        <x:v>9.92</x:v>
      </x:c>
      <x:c r="P155" s="57" t="str">
        <x:v>Lidl</x:v>
      </x:c>
      <x:c r="Q155" s="57" t="n">
        <x:f>IF(P155="Lidl",K155,IF(P155="Super U",L155,IF(P155="Carrefour",M155,IF(P155="Auchan",N155,O155))))</x:f>
        <x:v>8</x:v>
      </x:c>
      <x:c r="R155" s="57" t="n">
        <x:f>Q155/'Hypothèses &amp; sources'!$B$4</x:f>
        <x:v>2</x:v>
      </x:c>
      <x:c r="S155" s="56" t="n">
        <x:f>MAX(0,'Hypothèses &amp; sources'!$B$5*MAX(0,MIN(100,'Hypothèses &amp; sources'!$B$10-R155*'Hypothèses &amp; sources'!$B$9))+'Hypothèses &amp; sources'!$B$6*(G155/5*100)+'Hypothèses &amp; sources'!$B$7*(H155/5*100)+'Hypothèses &amp; sources'!$B$8*MAX(0,MIN(100,'Hypothèses &amp; sources'!$B$12-E155*'Hypothèses &amp; sources'!$B$11))-T155)</x:f>
        <x:v>78</x:v>
      </x:c>
      <x:c r="T155" s="33" t="n">
        <x:v>0</x:v>
      </x:c>
    </x:row>
    <x:row r="156">
      <x:c r="A156" s="33" t="n">
        <x:v>152</x:v>
      </x:c>
      <x:c r="B156" s="38" t="str">
        <x:v>Best-ever Italian meatballs</x:v>
      </x:c>
      <x:c r="C156" s="38" t="str">
        <x:v>Plat de viande</x:v>
      </x:c>
      <x:c r="D156" s="38" t="str">
        <x:v>bœuf et porc hachés, œuf, chapelure, parmesan, sauce tomate</x:v>
      </x:c>
      <x:c r="E156" s="33" t="n">
        <x:v>25</x:v>
      </x:c>
      <x:c r="F156" s="33" t="n">
        <x:v>45</x:v>
      </x:c>
      <x:c r="G156" s="56" t="n">
        <x:v>4.5</x:v>
      </x:c>
      <x:c r="H156" s="56" t="n">
        <x:v>3.2</x:v>
      </x:c>
      <x:c r="I156" s="33" t="n">
        <x:v>0</x:v>
      </x:c>
      <x:c r="J156" s="57" t="n">
        <x:v>12</x:v>
      </x:c>
      <x:c r="K156" s="57" t="n">
        <x:f>J156*'Hypothèses &amp; sources'!$E$4</x:f>
        <x:v>12</x:v>
      </x:c>
      <x:c r="L156" s="57" t="n">
        <x:f>J156*'Hypothèses &amp; sources'!$F$4</x:f>
        <x:v>12.72</x:v>
      </x:c>
      <x:c r="M156" s="57" t="n">
        <x:f>J156*'Hypothèses &amp; sources'!$G$4</x:f>
        <x:v>13.200000000000001</x:v>
      </x:c>
      <x:c r="N156" s="57" t="n">
        <x:f>J156*'Hypothèses &amp; sources'!$H$4</x:f>
        <x:v>13.32</x:v>
      </x:c>
      <x:c r="O156" s="57" t="n">
        <x:f>J156*'Hypothèses &amp; sources'!$I$4</x:f>
        <x:v>14.879999999999999</x:v>
      </x:c>
      <x:c r="P156" s="57" t="str">
        <x:v>Lidl</x:v>
      </x:c>
      <x:c r="Q156" s="57" t="n">
        <x:f>IF(P156="Lidl",K156,IF(P156="Super U",L156,IF(P156="Carrefour",M156,IF(P156="Auchan",N156,O156))))</x:f>
        <x:v>12</x:v>
      </x:c>
      <x:c r="R156" s="57" t="n">
        <x:f>Q156/'Hypothèses &amp; sources'!$B$4</x:f>
        <x:v>3</x:v>
      </x:c>
      <x:c r="S156" s="56" t="n">
        <x:f>MAX(0,'Hypothèses &amp; sources'!$B$5*MAX(0,MIN(100,'Hypothèses &amp; sources'!$B$10-R156*'Hypothèses &amp; sources'!$B$9))+'Hypothèses &amp; sources'!$B$6*(G156/5*100)+'Hypothèses &amp; sources'!$B$7*(H156/5*100)+'Hypothèses &amp; sources'!$B$8*MAX(0,MIN(100,'Hypothèses &amp; sources'!$B$12-E156*'Hypothèses &amp; sources'!$B$11))-T156)</x:f>
        <x:v>74.39999999999999</x:v>
      </x:c>
      <x:c r="T156" s="33" t="n">
        <x:v>0</x:v>
      </x:c>
    </x:row>
    <x:row r="157">
      <x:c r="A157" s="33" t="n">
        <x:v>153</x:v>
      </x:c>
      <x:c r="B157" s="38" t="str">
        <x:v>Jambalaya</x:v>
      </x:c>
      <x:c r="C157" s="38" t="str">
        <x:v>Riz / plat complet</x:v>
      </x:c>
      <x:c r="D157" s="38" t="str">
        <x:v>riz, poulet, saucisse, crevettes, tomate, céleri, poivron</x:v>
      </x:c>
      <x:c r="E157" s="33" t="n">
        <x:v>25</x:v>
      </x:c>
      <x:c r="F157" s="33" t="n">
        <x:v>50</x:v>
      </x:c>
      <x:c r="G157" s="56" t="n">
        <x:v>4.8</x:v>
      </x:c>
      <x:c r="H157" s="56" t="n">
        <x:v>4</x:v>
      </x:c>
      <x:c r="I157" s="33" t="n">
        <x:v>1</x:v>
      </x:c>
      <x:c r="J157" s="57" t="n">
        <x:v>17.5</x:v>
      </x:c>
      <x:c r="K157" s="57" t="n">
        <x:f>J157*'Hypothèses &amp; sources'!$E$4</x:f>
        <x:v>17.5</x:v>
      </x:c>
      <x:c r="L157" s="57" t="n">
        <x:f>J157*'Hypothèses &amp; sources'!$F$4</x:f>
        <x:v>18.55</x:v>
      </x:c>
      <x:c r="M157" s="57" t="n">
        <x:f>J157*'Hypothèses &amp; sources'!$G$4</x:f>
        <x:v>19.25</x:v>
      </x:c>
      <x:c r="N157" s="57" t="n">
        <x:f>J157*'Hypothèses &amp; sources'!$H$4</x:f>
        <x:v>19.425</x:v>
      </x:c>
      <x:c r="O157" s="57" t="n">
        <x:f>J157*'Hypothèses &amp; sources'!$I$4</x:f>
        <x:v>21.7</x:v>
      </x:c>
      <x:c r="P157" s="57" t="str">
        <x:v>Super U</x:v>
      </x:c>
      <x:c r="Q157" s="57" t="n">
        <x:f>IF(P157="Lidl",K157,IF(P157="Super U",L157,IF(P157="Carrefour",M157,IF(P157="Auchan",N157,O157))))</x:f>
        <x:v>18.55</x:v>
      </x:c>
      <x:c r="R157" s="57" t="n">
        <x:f>Q157/'Hypothèses &amp; sources'!$B$4</x:f>
        <x:v>4.6375</x:v>
      </x:c>
      <x:c r="S157" s="56" t="n">
        <x:f>MAX(0,'Hypothèses &amp; sources'!$B$5*MAX(0,MIN(100,'Hypothèses &amp; sources'!$B$10-R157*'Hypothèses &amp; sources'!$B$9))+'Hypothèses &amp; sources'!$B$6*(G157/5*100)+'Hypothèses &amp; sources'!$B$7*(H157/5*100)+'Hypothèses &amp; sources'!$B$8*MAX(0,MIN(100,'Hypothèses &amp; sources'!$B$12-E157*'Hypothèses &amp; sources'!$B$11))-T157)</x:f>
        <x:v>70.707</x:v>
      </x:c>
      <x:c r="T157" s="33" t="n">
        <x:v>0</x:v>
      </x:c>
    </x:row>
    <x:row r="158">
      <x:c r="A158" s="33" t="n">
        <x:v>154</x:v>
      </x:c>
      <x:c r="B158" s="38" t="str">
        <x:v>Chana masala</x:v>
      </x:c>
      <x:c r="C158" s="38" t="str">
        <x:v>Curry / cuisine épicée</x:v>
      </x:c>
      <x:c r="D158" s="38" t="str">
        <x:v>oignon, ail, gingembre, épices, légumineuses</x:v>
      </x:c>
      <x:c r="E158" s="33" t="n">
        <x:v>25</x:v>
      </x:c>
      <x:c r="F158" s="33" t="n">
        <x:v>55</x:v>
      </x:c>
      <x:c r="G158" s="56" t="n">
        <x:v>4</x:v>
      </x:c>
      <x:c r="H158" s="56" t="n">
        <x:v>3.6</x:v>
      </x:c>
      <x:c r="I158" s="33" t="n">
        <x:v>1</x:v>
      </x:c>
      <x:c r="J158" s="57" t="n">
        <x:v>3.8</x:v>
      </x:c>
      <x:c r="K158" s="57" t="n">
        <x:f>J158*'Hypothèses &amp; sources'!$E$4</x:f>
        <x:v>3.8</x:v>
      </x:c>
      <x:c r="L158" s="57" t="n">
        <x:f>J158*'Hypothèses &amp; sources'!$F$4</x:f>
        <x:v>4.028</x:v>
      </x:c>
      <x:c r="M158" s="57" t="n">
        <x:f>J158*'Hypothèses &amp; sources'!$G$4</x:f>
        <x:v>4.18</x:v>
      </x:c>
      <x:c r="N158" s="57" t="n">
        <x:f>J158*'Hypothèses &amp; sources'!$H$4</x:f>
        <x:v>4.218</x:v>
      </x:c>
      <x:c r="O158" s="57" t="n">
        <x:f>J158*'Hypothèses &amp; sources'!$I$4</x:f>
        <x:v>4.712</x:v>
      </x:c>
      <x:c r="P158" s="57" t="str">
        <x:v>Super U</x:v>
      </x:c>
      <x:c r="Q158" s="57" t="n">
        <x:f>IF(P158="Lidl",K158,IF(P158="Super U",L158,IF(P158="Carrefour",M158,IF(P158="Auchan",N158,O158))))</x:f>
        <x:v>4.028</x:v>
      </x:c>
      <x:c r="R158" s="57" t="n">
        <x:f>Q158/'Hypothèses &amp; sources'!$B$4</x:f>
        <x:v>1.007</x:v>
      </x:c>
      <x:c r="S158" s="56" t="n">
        <x:f>MAX(0,'Hypothèses &amp; sources'!$B$5*MAX(0,MIN(100,'Hypothèses &amp; sources'!$B$10-R158*'Hypothèses &amp; sources'!$B$9))+'Hypothèses &amp; sources'!$B$6*(G158/5*100)+'Hypothèses &amp; sources'!$B$7*(H158/5*100)+'Hypothèses &amp; sources'!$B$8*MAX(0,MIN(100,'Hypothèses &amp; sources'!$B$12-E158*'Hypothèses &amp; sources'!$B$11))-T158)</x:f>
        <x:v>83.08471999999999</x:v>
      </x:c>
      <x:c r="T158" s="33" t="n">
        <x:v>0</x:v>
      </x:c>
    </x:row>
    <x:row r="159">
      <x:c r="A159" s="33" t="n">
        <x:v>155</x:v>
      </x:c>
      <x:c r="B159" s="38" t="str">
        <x:v>Ethiopian lentils/misir wot</x:v>
      </x:c>
      <x:c r="C159" s="38" t="str">
        <x:v>Curry / cuisine épicée</x:v>
      </x:c>
      <x:c r="D159" s="38" t="str">
        <x:v>oignon, ail, gingembre, épices, légumineuses</x:v>
      </x:c>
      <x:c r="E159" s="33" t="n">
        <x:v>25</x:v>
      </x:c>
      <x:c r="F159" s="33" t="n">
        <x:v>55</x:v>
      </x:c>
      <x:c r="G159" s="56" t="n">
        <x:v>4</x:v>
      </x:c>
      <x:c r="H159" s="56" t="n">
        <x:v>3.6</x:v>
      </x:c>
      <x:c r="I159" s="33" t="n">
        <x:v>1</x:v>
      </x:c>
      <x:c r="J159" s="57" t="n">
        <x:v>3.8</x:v>
      </x:c>
      <x:c r="K159" s="57" t="n">
        <x:f>J159*'Hypothèses &amp; sources'!$E$4</x:f>
        <x:v>3.8</x:v>
      </x:c>
      <x:c r="L159" s="57" t="n">
        <x:f>J159*'Hypothèses &amp; sources'!$F$4</x:f>
        <x:v>4.028</x:v>
      </x:c>
      <x:c r="M159" s="57" t="n">
        <x:f>J159*'Hypothèses &amp; sources'!$G$4</x:f>
        <x:v>4.18</x:v>
      </x:c>
      <x:c r="N159" s="57" t="n">
        <x:f>J159*'Hypothèses &amp; sources'!$H$4</x:f>
        <x:v>4.218</x:v>
      </x:c>
      <x:c r="O159" s="57" t="n">
        <x:f>J159*'Hypothèses &amp; sources'!$I$4</x:f>
        <x:v>4.712</x:v>
      </x:c>
      <x:c r="P159" s="57" t="str">
        <x:v>Super U</x:v>
      </x:c>
      <x:c r="Q159" s="57" t="n">
        <x:f>IF(P159="Lidl",K159,IF(P159="Super U",L159,IF(P159="Carrefour",M159,IF(P159="Auchan",N159,O159))))</x:f>
        <x:v>4.028</x:v>
      </x:c>
      <x:c r="R159" s="57" t="n">
        <x:f>Q159/'Hypothèses &amp; sources'!$B$4</x:f>
        <x:v>1.007</x:v>
      </x:c>
      <x:c r="S159" s="56" t="n">
        <x:f>MAX(0,'Hypothèses &amp; sources'!$B$5*MAX(0,MIN(100,'Hypothèses &amp; sources'!$B$10-R159*'Hypothèses &amp; sources'!$B$9))+'Hypothèses &amp; sources'!$B$6*(G159/5*100)+'Hypothèses &amp; sources'!$B$7*(H159/5*100)+'Hypothèses &amp; sources'!$B$8*MAX(0,MIN(100,'Hypothèses &amp; sources'!$B$12-E159*'Hypothèses &amp; sources'!$B$11))-T159)</x:f>
        <x:v>83.08471999999999</x:v>
      </x:c>
      <x:c r="T159" s="33" t="n">
        <x:v>0</x:v>
      </x:c>
    </x:row>
    <x:row r="160">
      <x:c r="A160" s="33" t="n">
        <x:v>156</x:v>
      </x:c>
      <x:c r="B160" s="38" t="str">
        <x:v>Dum aloo/pommes de terre nouvelles en sauce masala épicée</x:v>
      </x:c>
      <x:c r="C160" s="38" t="str">
        <x:v>Curry / cuisine épicée</x:v>
      </x:c>
      <x:c r="D160" s="38" t="str">
        <x:v>oignon, ail, gingembre, épices, pommes de terre</x:v>
      </x:c>
      <x:c r="E160" s="33" t="n">
        <x:v>25</x:v>
      </x:c>
      <x:c r="F160" s="33" t="n">
        <x:v>55</x:v>
      </x:c>
      <x:c r="G160" s="56" t="n">
        <x:v>3.7</x:v>
      </x:c>
      <x:c r="H160" s="56" t="n">
        <x:v>3.1</x:v>
      </x:c>
      <x:c r="I160" s="33" t="n">
        <x:v>1</x:v>
      </x:c>
      <x:c r="J160" s="57" t="n">
        <x:v>4.2</x:v>
      </x:c>
      <x:c r="K160" s="57" t="n">
        <x:f>J160*'Hypothèses &amp; sources'!$E$4</x:f>
        <x:v>4.2</x:v>
      </x:c>
      <x:c r="L160" s="57" t="n">
        <x:f>J160*'Hypothèses &amp; sources'!$F$4</x:f>
        <x:v>4.452000000000001</x:v>
      </x:c>
      <x:c r="M160" s="57" t="n">
        <x:f>J160*'Hypothèses &amp; sources'!$G$4</x:f>
        <x:v>4.620000000000001</x:v>
      </x:c>
      <x:c r="N160" s="57" t="n">
        <x:f>J160*'Hypothèses &amp; sources'!$H$4</x:f>
        <x:v>4.662000000000001</x:v>
      </x:c>
      <x:c r="O160" s="57" t="n">
        <x:f>J160*'Hypothèses &amp; sources'!$I$4</x:f>
        <x:v>5.208</x:v>
      </x:c>
      <x:c r="P160" s="57" t="str">
        <x:v>Super U</x:v>
      </x:c>
      <x:c r="Q160" s="57" t="n">
        <x:f>IF(P160="Lidl",K160,IF(P160="Super U",L160,IF(P160="Carrefour",M160,IF(P160="Auchan",N160,O160))))</x:f>
        <x:v>4.452000000000001</x:v>
      </x:c>
      <x:c r="R160" s="57" t="n">
        <x:f>Q160/'Hypothèses &amp; sources'!$B$4</x:f>
        <x:v>1.1130000000000002</x:v>
      </x:c>
      <x:c r="S160" s="56" t="n">
        <x:f>MAX(0,'Hypothèses &amp; sources'!$B$5*MAX(0,MIN(100,'Hypothèses &amp; sources'!$B$10-R160*'Hypothèses &amp; sources'!$B$9))+'Hypothèses &amp; sources'!$B$6*(G160/5*100)+'Hypothèses &amp; sources'!$B$7*(H160/5*100)+'Hypothèses &amp; sources'!$B$8*MAX(0,MIN(100,'Hypothèses &amp; sources'!$B$12-E160*'Hypothèses &amp; sources'!$B$11))-T160)</x:f>
        <x:v>79.07047999999999</x:v>
      </x:c>
      <x:c r="T160" s="33" t="n">
        <x:v>0</x:v>
      </x:c>
    </x:row>
    <x:row r="161">
      <x:c r="A161" s="33" t="n">
        <x:v>157</x:v>
      </x:c>
      <x:c r="B161" s="38" t="str">
        <x:v>Baignan bharta/smoky mashed eggplant</x:v>
      </x:c>
      <x:c r="C161" s="38" t="str">
        <x:v>Curry / cuisine épicée</x:v>
      </x:c>
      <x:c r="D161" s="38" t="str">
        <x:v>oignon, ail, gingembre, épices, aubergine</x:v>
      </x:c>
      <x:c r="E161" s="33" t="n">
        <x:v>25</x:v>
      </x:c>
      <x:c r="F161" s="33" t="n">
        <x:v>55</x:v>
      </x:c>
      <x:c r="G161" s="56" t="n">
        <x:v>3.2</x:v>
      </x:c>
      <x:c r="H161" s="56" t="n">
        <x:v>3.4</x:v>
      </x:c>
      <x:c r="I161" s="33" t="n">
        <x:v>1</x:v>
      </x:c>
      <x:c r="J161" s="57" t="n">
        <x:v>4.4</x:v>
      </x:c>
      <x:c r="K161" s="57" t="n">
        <x:f>J161*'Hypothèses &amp; sources'!$E$4</x:f>
        <x:v>4.4</x:v>
      </x:c>
      <x:c r="L161" s="57" t="n">
        <x:f>J161*'Hypothèses &amp; sources'!$F$4</x:f>
        <x:v>4.664000000000001</x:v>
      </x:c>
      <x:c r="M161" s="57" t="n">
        <x:f>J161*'Hypothèses &amp; sources'!$G$4</x:f>
        <x:v>4.840000000000001</x:v>
      </x:c>
      <x:c r="N161" s="57" t="n">
        <x:f>J161*'Hypothèses &amp; sources'!$H$4</x:f>
        <x:v>4.884000000000001</x:v>
      </x:c>
      <x:c r="O161" s="57" t="n">
        <x:f>J161*'Hypothèses &amp; sources'!$I$4</x:f>
        <x:v>5.456</x:v>
      </x:c>
      <x:c r="P161" s="57" t="str">
        <x:v>Super U</x:v>
      </x:c>
      <x:c r="Q161" s="57" t="n">
        <x:f>IF(P161="Lidl",K161,IF(P161="Super U",L161,IF(P161="Carrefour",M161,IF(P161="Auchan",N161,O161))))</x:f>
        <x:v>4.664000000000001</x:v>
      </x:c>
      <x:c r="R161" s="57" t="n">
        <x:f>Q161/'Hypothèses &amp; sources'!$B$4</x:f>
        <x:v>1.1660000000000001</x:v>
      </x:c>
      <x:c r="S161" s="56" t="n">
        <x:f>MAX(0,'Hypothèses &amp; sources'!$B$5*MAX(0,MIN(100,'Hypothèses &amp; sources'!$B$10-R161*'Hypothèses &amp; sources'!$B$9))+'Hypothèses &amp; sources'!$B$6*(G161/5*100)+'Hypothèses &amp; sources'!$B$7*(H161/5*100)+'Hypothèses &amp; sources'!$B$8*MAX(0,MIN(100,'Hypothèses &amp; sources'!$B$12-E161*'Hypothèses &amp; sources'!$B$11))-T161)</x:f>
        <x:v>77.08335999999998</x:v>
      </x:c>
      <x:c r="T161" s="33" t="n">
        <x:v>0</x:v>
      </x:c>
    </x:row>
    <x:row r="162">
      <x:c r="A162" s="33" t="n">
        <x:v>158</x:v>
      </x:c>
      <x:c r="B162" s="38" t="str">
        <x:v>Casserole de thon</x:v>
      </x:c>
      <x:c r="C162" s="38" t="str">
        <x:v>Gratin / farci</x:v>
      </x:c>
      <x:c r="D162" s="38" t="str">
        <x:v>thon en conserve</x:v>
      </x:c>
      <x:c r="E162" s="33" t="n">
        <x:v>25</x:v>
      </x:c>
      <x:c r="F162" s="33" t="n">
        <x:v>55</x:v>
      </x:c>
      <x:c r="G162" s="56" t="n">
        <x:v>3.8</x:v>
      </x:c>
      <x:c r="H162" s="56" t="n">
        <x:v>3.5</x:v>
      </x:c>
      <x:c r="I162" s="33" t="n">
        <x:v>0</x:v>
      </x:c>
      <x:c r="J162" s="57" t="n">
        <x:v>6.4</x:v>
      </x:c>
      <x:c r="K162" s="57" t="n">
        <x:f>J162*'Hypothèses &amp; sources'!$E$4</x:f>
        <x:v>6.4</x:v>
      </x:c>
      <x:c r="L162" s="57" t="n">
        <x:f>J162*'Hypothèses &amp; sources'!$F$4</x:f>
        <x:v>6.784000000000001</x:v>
      </x:c>
      <x:c r="M162" s="57" t="n">
        <x:f>J162*'Hypothèses &amp; sources'!$G$4</x:f>
        <x:v>7.040000000000001</x:v>
      </x:c>
      <x:c r="N162" s="57" t="n">
        <x:f>J162*'Hypothèses &amp; sources'!$H$4</x:f>
        <x:v>7.104000000000001</x:v>
      </x:c>
      <x:c r="O162" s="57" t="n">
        <x:f>J162*'Hypothèses &amp; sources'!$I$4</x:f>
        <x:v>7.936</x:v>
      </x:c>
      <x:c r="P162" s="57" t="str">
        <x:v>Lidl</x:v>
      </x:c>
      <x:c r="Q162" s="57" t="n">
        <x:f>IF(P162="Lidl",K162,IF(P162="Super U",L162,IF(P162="Carrefour",M162,IF(P162="Auchan",N162,O162))))</x:f>
        <x:v>6.4</x:v>
      </x:c>
      <x:c r="R162" s="57" t="n">
        <x:f>Q162/'Hypothèses &amp; sources'!$B$4</x:f>
        <x:v>1.6</x:v>
      </x:c>
      <x:c r="S162" s="56" t="n">
        <x:f>MAX(0,'Hypothèses &amp; sources'!$B$5*MAX(0,MIN(100,'Hypothèses &amp; sources'!$B$10-R162*'Hypothèses &amp; sources'!$B$9))+'Hypothèses &amp; sources'!$B$6*(G162/5*100)+'Hypothèses &amp; sources'!$B$7*(H162/5*100)+'Hypothèses &amp; sources'!$B$8*MAX(0,MIN(100,'Hypothèses &amp; sources'!$B$12-E162*'Hypothèses &amp; sources'!$B$11))-T162)</x:f>
        <x:v>78.61599999999999</x:v>
      </x:c>
      <x:c r="T162" s="33" t="n">
        <x:v>0</x:v>
      </x:c>
    </x:row>
    <x:row r="163">
      <x:c r="A163" s="33" t="n">
        <x:v>159</x:v>
      </x:c>
      <x:c r="B163" s="38" t="str">
        <x:v>Curry de pommes de terre et d'aubergines</x:v>
      </x:c>
      <x:c r="C163" s="38" t="str">
        <x:v>Curry / cuisine épicée</x:v>
      </x:c>
      <x:c r="D163" s="38" t="str">
        <x:v>oignon, ail, gingembre, épices, pommes de terre, aubergine</x:v>
      </x:c>
      <x:c r="E163" s="33" t="n">
        <x:v>25</x:v>
      </x:c>
      <x:c r="F163" s="33" t="n">
        <x:v>55</x:v>
      </x:c>
      <x:c r="G163" s="56" t="n">
        <x:v>3.7</x:v>
      </x:c>
      <x:c r="H163" s="56" t="n">
        <x:v>3.4</x:v>
      </x:c>
      <x:c r="I163" s="33" t="n">
        <x:v>1</x:v>
      </x:c>
      <x:c r="J163" s="57" t="n">
        <x:v>6.2</x:v>
      </x:c>
      <x:c r="K163" s="57" t="n">
        <x:f>J163*'Hypothèses &amp; sources'!$E$4</x:f>
        <x:v>6.2</x:v>
      </x:c>
      <x:c r="L163" s="57" t="n">
        <x:f>J163*'Hypothèses &amp; sources'!$F$4</x:f>
        <x:v>6.572000000000001</x:v>
      </x:c>
      <x:c r="M163" s="57" t="n">
        <x:f>J163*'Hypothèses &amp; sources'!$G$4</x:f>
        <x:v>6.820000000000001</x:v>
      </x:c>
      <x:c r="N163" s="57" t="n">
        <x:f>J163*'Hypothèses &amp; sources'!$H$4</x:f>
        <x:v>6.882000000000001</x:v>
      </x:c>
      <x:c r="O163" s="57" t="n">
        <x:f>J163*'Hypothèses &amp; sources'!$I$4</x:f>
        <x:v>7.688</x:v>
      </x:c>
      <x:c r="P163" s="57" t="str">
        <x:v>Super U</x:v>
      </x:c>
      <x:c r="Q163" s="57" t="n">
        <x:f>IF(P163="Lidl",K163,IF(P163="Super U",L163,IF(P163="Carrefour",M163,IF(P163="Auchan",N163,O163))))</x:f>
        <x:v>6.572000000000001</x:v>
      </x:c>
      <x:c r="R163" s="57" t="n">
        <x:f>Q163/'Hypothèses &amp; sources'!$B$4</x:f>
        <x:v>1.6430000000000002</x:v>
      </x:c>
      <x:c r="S163" s="56" t="n">
        <x:f>MAX(0,'Hypothèses &amp; sources'!$B$5*MAX(0,MIN(100,'Hypothèses &amp; sources'!$B$10-R163*'Hypothèses &amp; sources'!$B$9))+'Hypothèses &amp; sources'!$B$6*(G163/5*100)+'Hypothèses &amp; sources'!$B$7*(H163/5*100)+'Hypothèses &amp; sources'!$B$8*MAX(0,MIN(100,'Hypothèses &amp; sources'!$B$12-E163*'Hypothèses &amp; sources'!$B$11))-T163)</x:f>
        <x:v>77.47927999999999</x:v>
      </x:c>
      <x:c r="T163" s="33" t="n">
        <x:v>0</x:v>
      </x:c>
    </x:row>
    <x:row r="164">
      <x:c r="A164" s="33" t="n">
        <x:v>160</x:v>
      </x:c>
      <x:c r="B164" s="38" t="str">
        <x:v>Curry de poulet et de lentilles</x:v>
      </x:c>
      <x:c r="C164" s="38" t="str">
        <x:v>Curry / cuisine épicée</x:v>
      </x:c>
      <x:c r="D164" s="38" t="str">
        <x:v>oignon, ail, gingembre, épices, légumineuses, poulet</x:v>
      </x:c>
      <x:c r="E164" s="33" t="n">
        <x:v>25</x:v>
      </x:c>
      <x:c r="F164" s="33" t="n">
        <x:v>55</x:v>
      </x:c>
      <x:c r="G164" s="56" t="n">
        <x:v>4.7</x:v>
      </x:c>
      <x:c r="H164" s="56" t="n">
        <x:v>4</x:v>
      </x:c>
      <x:c r="I164" s="33" t="n">
        <x:v>1</x:v>
      </x:c>
      <x:c r="J164" s="57" t="n">
        <x:v>10.2</x:v>
      </x:c>
      <x:c r="K164" s="57" t="n">
        <x:f>J164*'Hypothèses &amp; sources'!$E$4</x:f>
        <x:v>10.2</x:v>
      </x:c>
      <x:c r="L164" s="57" t="n">
        <x:f>J164*'Hypothèses &amp; sources'!$F$4</x:f>
        <x:v>10.812</x:v>
      </x:c>
      <x:c r="M164" s="57" t="n">
        <x:f>J164*'Hypothèses &amp; sources'!$G$4</x:f>
        <x:v>11.22</x:v>
      </x:c>
      <x:c r="N164" s="57" t="n">
        <x:f>J164*'Hypothèses &amp; sources'!$H$4</x:f>
        <x:v>11.322000000000001</x:v>
      </x:c>
      <x:c r="O164" s="57" t="n">
        <x:f>J164*'Hypothèses &amp; sources'!$I$4</x:f>
        <x:v>12.648</x:v>
      </x:c>
      <x:c r="P164" s="57" t="str">
        <x:v>Super U</x:v>
      </x:c>
      <x:c r="Q164" s="57" t="n">
        <x:f>IF(P164="Lidl",K164,IF(P164="Super U",L164,IF(P164="Carrefour",M164,IF(P164="Auchan",N164,O164))))</x:f>
        <x:v>10.812</x:v>
      </x:c>
      <x:c r="R164" s="57" t="n">
        <x:f>Q164/'Hypothèses &amp; sources'!$B$4</x:f>
        <x:v>2.703</x:v>
      </x:c>
      <x:c r="S164" s="56" t="n">
        <x:f>MAX(0,'Hypothèses &amp; sources'!$B$5*MAX(0,MIN(100,'Hypothèses &amp; sources'!$B$10-R164*'Hypothèses &amp; sources'!$B$9))+'Hypothèses &amp; sources'!$B$6*(G164/5*100)+'Hypothèses &amp; sources'!$B$7*(H164/5*100)+'Hypothèses &amp; sources'!$B$8*MAX(0,MIN(100,'Hypothèses &amp; sources'!$B$12-E164*'Hypothèses &amp; sources'!$B$11))-T164)</x:f>
        <x:v>79.89687999999998</x:v>
      </x:c>
      <x:c r="T164" s="33" t="n">
        <x:v>0</x:v>
      </x:c>
    </x:row>
    <x:row r="165">
      <x:c r="A165" s="33" t="n">
        <x:v>161</x:v>
      </x:c>
      <x:c r="B165" s="38" t="str">
        <x:v>Casserole d'oeufs et de poulet</x:v>
      </x:c>
      <x:c r="C165" s="38" t="str">
        <x:v>Gratin / farci</x:v>
      </x:c>
      <x:c r="D165" s="38" t="str">
        <x:v>œufs, poulet</x:v>
      </x:c>
      <x:c r="E165" s="33" t="n">
        <x:v>25</x:v>
      </x:c>
      <x:c r="F165" s="33" t="n">
        <x:v>55</x:v>
      </x:c>
      <x:c r="G165" s="56" t="n">
        <x:v>4.3</x:v>
      </x:c>
      <x:c r="H165" s="56" t="n">
        <x:v>3.5</x:v>
      </x:c>
      <x:c r="I165" s="33" t="n">
        <x:v>0</x:v>
      </x:c>
      <x:c r="J165" s="57" t="n">
        <x:v>10.9</x:v>
      </x:c>
      <x:c r="K165" s="57" t="n">
        <x:f>J165*'Hypothèses &amp; sources'!$E$4</x:f>
        <x:v>10.9</x:v>
      </x:c>
      <x:c r="L165" s="57" t="n">
        <x:f>J165*'Hypothèses &amp; sources'!$F$4</x:f>
        <x:v>11.554</x:v>
      </x:c>
      <x:c r="M165" s="57" t="n">
        <x:f>J165*'Hypothèses &amp; sources'!$G$4</x:f>
        <x:v>11.990000000000002</x:v>
      </x:c>
      <x:c r="N165" s="57" t="n">
        <x:f>J165*'Hypothèses &amp; sources'!$H$4</x:f>
        <x:v>12.099000000000002</x:v>
      </x:c>
      <x:c r="O165" s="57" t="n">
        <x:f>J165*'Hypothèses &amp; sources'!$I$4</x:f>
        <x:v>13.516</x:v>
      </x:c>
      <x:c r="P165" s="57" t="str">
        <x:v>Lidl</x:v>
      </x:c>
      <x:c r="Q165" s="57" t="n">
        <x:f>IF(P165="Lidl",K165,IF(P165="Super U",L165,IF(P165="Carrefour",M165,IF(P165="Auchan",N165,O165))))</x:f>
        <x:v>10.9</x:v>
      </x:c>
      <x:c r="R165" s="57" t="n">
        <x:f>Q165/'Hypothèses &amp; sources'!$B$4</x:f>
        <x:v>2.725</x:v>
      </x:c>
      <x:c r="S165" s="56" t="n">
        <x:f>MAX(0,'Hypothèses &amp; sources'!$B$5*MAX(0,MIN(100,'Hypothèses &amp; sources'!$B$10-R165*'Hypothèses &amp; sources'!$B$9))+'Hypothèses &amp; sources'!$B$6*(G165/5*100)+'Hypothèses &amp; sources'!$B$7*(H165/5*100)+'Hypothèses &amp; sources'!$B$8*MAX(0,MIN(100,'Hypothèses &amp; sources'!$B$12-E165*'Hypothèses &amp; sources'!$B$11))-T165)</x:f>
        <x:v>75.746</x:v>
      </x:c>
      <x:c r="T165" s="33" t="n">
        <x:v>0</x:v>
      </x:c>
    </x:row>
    <x:row r="166">
      <x:c r="A166" s="33" t="n">
        <x:v>162</x:v>
      </x:c>
      <x:c r="B166" s="38" t="str">
        <x:v>Casserole de poulet parmesan</x:v>
      </x:c>
      <x:c r="C166" s="38" t="str">
        <x:v>Gratin / farci</x:v>
      </x:c>
      <x:c r="D166" s="38" t="str">
        <x:v>poulet, crème / fromage</x:v>
      </x:c>
      <x:c r="E166" s="33" t="n">
        <x:v>25</x:v>
      </x:c>
      <x:c r="F166" s="33" t="n">
        <x:v>55</x:v>
      </x:c>
      <x:c r="G166" s="56" t="n">
        <x:v>4.2</x:v>
      </x:c>
      <x:c r="H166" s="56" t="n">
        <x:v>3.4</x:v>
      </x:c>
      <x:c r="I166" s="33" t="n">
        <x:v>0</x:v>
      </x:c>
      <x:c r="J166" s="57" t="n">
        <x:v>11.7</x:v>
      </x:c>
      <x:c r="K166" s="57" t="n">
        <x:f>J166*'Hypothèses &amp; sources'!$E$4</x:f>
        <x:v>11.7</x:v>
      </x:c>
      <x:c r="L166" s="57" t="n">
        <x:f>J166*'Hypothèses &amp; sources'!$F$4</x:f>
        <x:v>12.402</x:v>
      </x:c>
      <x:c r="M166" s="57" t="n">
        <x:f>J166*'Hypothèses &amp; sources'!$G$4</x:f>
        <x:v>12.870000000000001</x:v>
      </x:c>
      <x:c r="N166" s="57" t="n">
        <x:f>J166*'Hypothèses &amp; sources'!$H$4</x:f>
        <x:v>12.987</x:v>
      </x:c>
      <x:c r="O166" s="57" t="n">
        <x:f>J166*'Hypothèses &amp; sources'!$I$4</x:f>
        <x:v>14.508</x:v>
      </x:c>
      <x:c r="P166" s="57" t="str">
        <x:v>Lidl</x:v>
      </x:c>
      <x:c r="Q166" s="57" t="n">
        <x:f>IF(P166="Lidl",K166,IF(P166="Super U",L166,IF(P166="Carrefour",M166,IF(P166="Auchan",N166,O166))))</x:f>
        <x:v>11.7</x:v>
      </x:c>
      <x:c r="R166" s="57" t="n">
        <x:f>Q166/'Hypothèses &amp; sources'!$B$4</x:f>
        <x:v>2.925</x:v>
      </x:c>
      <x:c r="S166" s="56" t="n">
        <x:f>MAX(0,'Hypothèses &amp; sources'!$B$5*MAX(0,MIN(100,'Hypothèses &amp; sources'!$B$10-R166*'Hypothèses &amp; sources'!$B$9))+'Hypothèses &amp; sources'!$B$6*(G166/5*100)+'Hypothèses &amp; sources'!$B$7*(H166/5*100)+'Hypothèses &amp; sources'!$B$8*MAX(0,MIN(100,'Hypothèses &amp; sources'!$B$12-E166*'Hypothèses &amp; sources'!$B$11))-T166)</x:f>
        <x:v>73.818</x:v>
      </x:c>
      <x:c r="T166" s="33" t="n">
        <x:v>0</x:v>
      </x:c>
    </x:row>
    <x:row r="167">
      <x:c r="A167" s="33" t="n">
        <x:v>163</x:v>
      </x:c>
      <x:c r="B167" s="38" t="str">
        <x:v>Saag de porc</x:v>
      </x:c>
      <x:c r="C167" s="38" t="str">
        <x:v>Curry / cuisine épicée</x:v>
      </x:c>
      <x:c r="D167" s="38" t="str">
        <x:v>oignon, ail, gingembre, épices, porc, légumes</x:v>
      </x:c>
      <x:c r="E167" s="33" t="n">
        <x:v>25</x:v>
      </x:c>
      <x:c r="F167" s="33" t="n">
        <x:v>55</x:v>
      </x:c>
      <x:c r="G167" s="56" t="n">
        <x:v>3.9</x:v>
      </x:c>
      <x:c r="H167" s="56" t="n">
        <x:v>3.3</x:v>
      </x:c>
      <x:c r="I167" s="33" t="n">
        <x:v>1</x:v>
      </x:c>
      <x:c r="J167" s="57" t="n">
        <x:v>11.1</x:v>
      </x:c>
      <x:c r="K167" s="57" t="n">
        <x:f>J167*'Hypothèses &amp; sources'!$E$4</x:f>
        <x:v>11.1</x:v>
      </x:c>
      <x:c r="L167" s="57" t="n">
        <x:f>J167*'Hypothèses &amp; sources'!$F$4</x:f>
        <x:v>11.766</x:v>
      </x:c>
      <x:c r="M167" s="57" t="n">
        <x:f>J167*'Hypothèses &amp; sources'!$G$4</x:f>
        <x:v>12.21</x:v>
      </x:c>
      <x:c r="N167" s="57" t="n">
        <x:f>J167*'Hypothèses &amp; sources'!$H$4</x:f>
        <x:v>12.321000000000002</x:v>
      </x:c>
      <x:c r="O167" s="57" t="n">
        <x:f>J167*'Hypothèses &amp; sources'!$I$4</x:f>
        <x:v>13.764</x:v>
      </x:c>
      <x:c r="P167" s="57" t="str">
        <x:v>Super U</x:v>
      </x:c>
      <x:c r="Q167" s="57" t="n">
        <x:f>IF(P167="Lidl",K167,IF(P167="Super U",L167,IF(P167="Carrefour",M167,IF(P167="Auchan",N167,O167))))</x:f>
        <x:v>11.766</x:v>
      </x:c>
      <x:c r="R167" s="57" t="n">
        <x:f>Q167/'Hypothèses &amp; sources'!$B$4</x:f>
        <x:v>2.9415</x:v>
      </x:c>
      <x:c r="S167" s="56" t="n">
        <x:f>MAX(0,'Hypothèses &amp; sources'!$B$5*MAX(0,MIN(100,'Hypothèses &amp; sources'!$B$10-R167*'Hypothèses &amp; sources'!$B$9))+'Hypothèses &amp; sources'!$B$6*(G167/5*100)+'Hypothèses &amp; sources'!$B$7*(H167/5*100)+'Hypothèses &amp; sources'!$B$8*MAX(0,MIN(100,'Hypothèses &amp; sources'!$B$12-E167*'Hypothèses &amp; sources'!$B$11))-T167)</x:f>
        <x:v>71.69484</x:v>
      </x:c>
      <x:c r="T167" s="33" t="n">
        <x:v>0</x:v>
      </x:c>
    </x:row>
    <x:row r="168">
      <x:c r="A168" s="33" t="n">
        <x:v>164</x:v>
      </x:c>
      <x:c r="B168" s="38" t="str">
        <x:v>Pates au poulet tikka masala</x:v>
      </x:c>
      <x:c r="C168" s="38" t="str">
        <x:v>Curry / cuisine épicée</x:v>
      </x:c>
      <x:c r="D168" s="38" t="str">
        <x:v>oignon, ail, gingembre, épices, pâtes / nouilles, poulet, légumes</x:v>
      </x:c>
      <x:c r="E168" s="33" t="n">
        <x:v>25</x:v>
      </x:c>
      <x:c r="F168" s="33" t="n">
        <x:v>55</x:v>
      </x:c>
      <x:c r="G168" s="56" t="n">
        <x:v>4.2</x:v>
      </x:c>
      <x:c r="H168" s="56" t="n">
        <x:v>3.7</x:v>
      </x:c>
      <x:c r="I168" s="33" t="n">
        <x:v>1</x:v>
      </x:c>
      <x:c r="J168" s="57" t="n">
        <x:v>11.4</x:v>
      </x:c>
      <x:c r="K168" s="57" t="n">
        <x:f>J168*'Hypothèses &amp; sources'!$E$4</x:f>
        <x:v>11.4</x:v>
      </x:c>
      <x:c r="L168" s="57" t="n">
        <x:f>J168*'Hypothèses &amp; sources'!$F$4</x:f>
        <x:v>12.084000000000001</x:v>
      </x:c>
      <x:c r="M168" s="57" t="n">
        <x:f>J168*'Hypothèses &amp; sources'!$G$4</x:f>
        <x:v>12.540000000000001</x:v>
      </x:c>
      <x:c r="N168" s="57" t="n">
        <x:f>J168*'Hypothèses &amp; sources'!$H$4</x:f>
        <x:v>12.654000000000002</x:v>
      </x:c>
      <x:c r="O168" s="57" t="n">
        <x:f>J168*'Hypothèses &amp; sources'!$I$4</x:f>
        <x:v>14.136000000000001</x:v>
      </x:c>
      <x:c r="P168" s="57" t="str">
        <x:v>Super U</x:v>
      </x:c>
      <x:c r="Q168" s="57" t="n">
        <x:f>IF(P168="Lidl",K168,IF(P168="Super U",L168,IF(P168="Carrefour",M168,IF(P168="Auchan",N168,O168))))</x:f>
        <x:v>12.084000000000001</x:v>
      </x:c>
      <x:c r="R168" s="57" t="n">
        <x:f>Q168/'Hypothèses &amp; sources'!$B$4</x:f>
        <x:v>3.0210000000000004</x:v>
      </x:c>
      <x:c r="S168" s="56" t="n">
        <x:f>MAX(0,'Hypothèses &amp; sources'!$B$5*MAX(0,MIN(100,'Hypothèses &amp; sources'!$B$10-R168*'Hypothèses &amp; sources'!$B$9))+'Hypothèses &amp; sources'!$B$6*(G168/5*100)+'Hypothèses &amp; sources'!$B$7*(H168/5*100)+'Hypothèses &amp; sources'!$B$8*MAX(0,MIN(100,'Hypothèses &amp; sources'!$B$12-E168*'Hypothèses &amp; sources'!$B$11))-T168)</x:f>
        <x:v>74.41416</x:v>
      </x:c>
      <x:c r="T168" s="33" t="n">
        <x:v>0</x:v>
      </x:c>
    </x:row>
    <x:row r="169">
      <x:c r="A169" s="33" t="n">
        <x:v>165</x:v>
      </x:c>
      <x:c r="B169" s="38" t="str">
        <x:v>Tourte à l'aiglefin</x:v>
      </x:c>
      <x:c r="C169" s="38" t="str">
        <x:v>Gratin / farci</x:v>
      </x:c>
      <x:c r="D169" s="38" t="str">
        <x:v>aiglefin / haddock</x:v>
      </x:c>
      <x:c r="E169" s="33" t="n">
        <x:v>25</x:v>
      </x:c>
      <x:c r="F169" s="33" t="n">
        <x:v>55</x:v>
      </x:c>
      <x:c r="G169" s="56" t="n">
        <x:v>3.2</x:v>
      </x:c>
      <x:c r="H169" s="56" t="n">
        <x:v>3.6</x:v>
      </x:c>
      <x:c r="I169" s="33" t="n">
        <x:v>1</x:v>
      </x:c>
      <x:c r="J169" s="57" t="n">
        <x:v>12.1</x:v>
      </x:c>
      <x:c r="K169" s="57" t="n">
        <x:f>J169*'Hypothèses &amp; sources'!$E$4</x:f>
        <x:v>12.1</x:v>
      </x:c>
      <x:c r="L169" s="57" t="n">
        <x:f>J169*'Hypothèses &amp; sources'!$F$4</x:f>
        <x:v>12.826</x:v>
      </x:c>
      <x:c r="M169" s="57" t="n">
        <x:f>J169*'Hypothèses &amp; sources'!$G$4</x:f>
        <x:v>13.31</x:v>
      </x:c>
      <x:c r="N169" s="57" t="n">
        <x:f>J169*'Hypothèses &amp; sources'!$H$4</x:f>
        <x:v>13.431000000000001</x:v>
      </x:c>
      <x:c r="O169" s="57" t="n">
        <x:f>J169*'Hypothèses &amp; sources'!$I$4</x:f>
        <x:v>15.004</x:v>
      </x:c>
      <x:c r="P169" s="57" t="str">
        <x:v>Super U</x:v>
      </x:c>
      <x:c r="Q169" s="57" t="n">
        <x:f>IF(P169="Lidl",K169,IF(P169="Super U",L169,IF(P169="Carrefour",M169,IF(P169="Auchan",N169,O169))))</x:f>
        <x:v>12.826</x:v>
      </x:c>
      <x:c r="R169" s="57" t="n">
        <x:f>Q169/'Hypothèses &amp; sources'!$B$4</x:f>
        <x:v>3.2065</x:v>
      </x:c>
      <x:c r="S169" s="56" t="n">
        <x:f>MAX(0,'Hypothèses &amp; sources'!$B$5*MAX(0,MIN(100,'Hypothèses &amp; sources'!$B$10-R169*'Hypothèses &amp; sources'!$B$9))+'Hypothèses &amp; sources'!$B$6*(G169/5*100)+'Hypothèses &amp; sources'!$B$7*(H169/5*100)+'Hypothèses &amp; sources'!$B$8*MAX(0,MIN(100,'Hypothèses &amp; sources'!$B$12-E169*'Hypothèses &amp; sources'!$B$11))-T169)</x:f>
        <x:v>67.51924</x:v>
      </x:c>
      <x:c r="T169" s="33" t="n">
        <x:v>0</x:v>
      </x:c>
    </x:row>
    <x:row r="170">
      <x:c r="A170" s="33" t="n">
        <x:v>166</x:v>
      </x:c>
      <x:c r="B170" s="38" t="str">
        <x:v>Jhinga nariyalwala/shrimp coconut curry</x:v>
      </x:c>
      <x:c r="C170" s="38" t="str">
        <x:v>Curry / cuisine épicée</x:v>
      </x:c>
      <x:c r="D170" s="38" t="str">
        <x:v>oignon, ail, gingembre, épices, crevettes, lait de coco, légumes</x:v>
      </x:c>
      <x:c r="E170" s="33" t="n">
        <x:v>25</x:v>
      </x:c>
      <x:c r="F170" s="33" t="n">
        <x:v>55</x:v>
      </x:c>
      <x:c r="G170" s="56" t="n">
        <x:v>3.2</x:v>
      </x:c>
      <x:c r="H170" s="56" t="n">
        <x:v>3.7</x:v>
      </x:c>
      <x:c r="I170" s="33" t="n">
        <x:v>1</x:v>
      </x:c>
      <x:c r="J170" s="57" t="n">
        <x:v>16.2</x:v>
      </x:c>
      <x:c r="K170" s="57" t="n">
        <x:f>J170*'Hypothèses &amp; sources'!$E$4</x:f>
        <x:v>16.2</x:v>
      </x:c>
      <x:c r="L170" s="57" t="n">
        <x:f>J170*'Hypothèses &amp; sources'!$F$4</x:f>
        <x:v>17.172</x:v>
      </x:c>
      <x:c r="M170" s="57" t="n">
        <x:f>J170*'Hypothèses &amp; sources'!$G$4</x:f>
        <x:v>17.82</x:v>
      </x:c>
      <x:c r="N170" s="57" t="n">
        <x:f>J170*'Hypothèses &amp; sources'!$H$4</x:f>
        <x:v>17.982</x:v>
      </x:c>
      <x:c r="O170" s="57" t="n">
        <x:f>J170*'Hypothèses &amp; sources'!$I$4</x:f>
        <x:v>20.087999999999997</x:v>
      </x:c>
      <x:c r="P170" s="57" t="str">
        <x:v>Super U</x:v>
      </x:c>
      <x:c r="Q170" s="57" t="n">
        <x:f>IF(P170="Lidl",K170,IF(P170="Super U",L170,IF(P170="Carrefour",M170,IF(P170="Auchan",N170,O170))))</x:f>
        <x:v>17.172</x:v>
      </x:c>
      <x:c r="R170" s="57" t="n">
        <x:f>Q170/'Hypothèses &amp; sources'!$B$4</x:f>
        <x:v>4.293</x:v>
      </x:c>
      <x:c r="S170" s="56" t="n">
        <x:f>MAX(0,'Hypothèses &amp; sources'!$B$5*MAX(0,MIN(100,'Hypothèses &amp; sources'!$B$10-R170*'Hypothèses &amp; sources'!$B$9))+'Hypothèses &amp; sources'!$B$6*(G170/5*100)+'Hypothèses &amp; sources'!$B$7*(H170/5*100)+'Hypothèses &amp; sources'!$B$8*MAX(0,MIN(100,'Hypothèses &amp; sources'!$B$12-E170*'Hypothèses &amp; sources'!$B$11))-T170)</x:f>
        <x:v>62.403279999999995</x:v>
      </x:c>
      <x:c r="T170" s="33" t="n">
        <x:v>0</x:v>
      </x:c>
    </x:row>
    <x:row r="171">
      <x:c r="A171" s="33" t="n">
        <x:v>167</x:v>
      </x:c>
      <x:c r="B171" s="38" t="str">
        <x:v>Curry d'agneau et au pomme de terre</x:v>
      </x:c>
      <x:c r="C171" s="38" t="str">
        <x:v>Curry / cuisine épicée</x:v>
      </x:c>
      <x:c r="D171" s="38" t="str">
        <x:v>oignon, ail, gingembre, épices, pommes de terre, agneau / mouton</x:v>
      </x:c>
      <x:c r="E171" s="33" t="n">
        <x:v>25</x:v>
      </x:c>
      <x:c r="F171" s="33" t="n">
        <x:v>55</x:v>
      </x:c>
      <x:c r="G171" s="56" t="n">
        <x:v>4.5</x:v>
      </x:c>
      <x:c r="H171" s="56" t="n">
        <x:v>3.1</x:v>
      </x:c>
      <x:c r="I171" s="33" t="n">
        <x:v>1</x:v>
      </x:c>
      <x:c r="J171" s="57" t="n">
        <x:v>20.7</x:v>
      </x:c>
      <x:c r="K171" s="57" t="n">
        <x:f>J171*'Hypothèses &amp; sources'!$E$4</x:f>
        <x:v>20.7</x:v>
      </x:c>
      <x:c r="L171" s="57" t="n">
        <x:f>J171*'Hypothèses &amp; sources'!$F$4</x:f>
        <x:v>21.942</x:v>
      </x:c>
      <x:c r="M171" s="57" t="n">
        <x:f>J171*'Hypothèses &amp; sources'!$G$4</x:f>
        <x:v>22.77</x:v>
      </x:c>
      <x:c r="N171" s="57" t="n">
        <x:f>J171*'Hypothèses &amp; sources'!$H$4</x:f>
        <x:v>22.977</x:v>
      </x:c>
      <x:c r="O171" s="57" t="n">
        <x:f>J171*'Hypothèses &amp; sources'!$I$4</x:f>
        <x:v>25.668</x:v>
      </x:c>
      <x:c r="P171" s="57" t="str">
        <x:v>Super U</x:v>
      </x:c>
      <x:c r="Q171" s="57" t="n">
        <x:f>IF(P171="Lidl",K171,IF(P171="Super U",L171,IF(P171="Carrefour",M171,IF(P171="Auchan",N171,O171))))</x:f>
        <x:v>21.942</x:v>
      </x:c>
      <x:c r="R171" s="57" t="n">
        <x:f>Q171/'Hypothèses &amp; sources'!$B$4</x:f>
        <x:v>5.4855</x:v>
      </x:c>
      <x:c r="S171" s="56" t="n">
        <x:f>MAX(0,'Hypothèses &amp; sources'!$B$5*MAX(0,MIN(100,'Hypothèses &amp; sources'!$B$10-R171*'Hypothèses &amp; sources'!$B$9))+'Hypothèses &amp; sources'!$B$6*(G171/5*100)+'Hypothèses &amp; sources'!$B$7*(H171/5*100)+'Hypothèses &amp; sources'!$B$8*MAX(0,MIN(100,'Hypothèses &amp; sources'!$B$12-E171*'Hypothèses &amp; sources'!$B$11))-T171)</x:f>
        <x:v>61.51308000000001</x:v>
      </x:c>
      <x:c r="T171" s="33" t="n">
        <x:v>0</x:v>
      </x:c>
    </x:row>
    <x:row r="172">
      <x:c r="A172" s="33" t="n">
        <x:v>168</x:v>
      </x:c>
      <x:c r="B172" s="38" t="str">
        <x:v>Biryani d'agneau</x:v>
      </x:c>
      <x:c r="C172" s="38" t="str">
        <x:v>Curry / cuisine épicée</x:v>
      </x:c>
      <x:c r="D172" s="38" t="str">
        <x:v>oignon, ail, gingembre, épices, riz, agneau / mouton, légumes</x:v>
      </x:c>
      <x:c r="E172" s="33" t="n">
        <x:v>25</x:v>
      </x:c>
      <x:c r="F172" s="33" t="n">
        <x:v>55</x:v>
      </x:c>
      <x:c r="G172" s="56" t="n">
        <x:v>4.4</x:v>
      </x:c>
      <x:c r="H172" s="56" t="n">
        <x:v>3.3</x:v>
      </x:c>
      <x:c r="I172" s="33" t="n">
        <x:v>1</x:v>
      </x:c>
      <x:c r="J172" s="57" t="n">
        <x:v>21.3</x:v>
      </x:c>
      <x:c r="K172" s="57" t="n">
        <x:f>J172*'Hypothèses &amp; sources'!$E$4</x:f>
        <x:v>21.3</x:v>
      </x:c>
      <x:c r="L172" s="57" t="n">
        <x:f>J172*'Hypothèses &amp; sources'!$F$4</x:f>
        <x:v>22.578000000000003</x:v>
      </x:c>
      <x:c r="M172" s="57" t="n">
        <x:f>J172*'Hypothèses &amp; sources'!$G$4</x:f>
        <x:v>23.430000000000003</x:v>
      </x:c>
      <x:c r="N172" s="57" t="n">
        <x:f>J172*'Hypothèses &amp; sources'!$H$4</x:f>
        <x:v>23.643000000000004</x:v>
      </x:c>
      <x:c r="O172" s="57" t="n">
        <x:f>J172*'Hypothèses &amp; sources'!$I$4</x:f>
        <x:v>26.412</x:v>
      </x:c>
      <x:c r="P172" s="57" t="str">
        <x:v>Super U</x:v>
      </x:c>
      <x:c r="Q172" s="57" t="n">
        <x:f>IF(P172="Lidl",K172,IF(P172="Super U",L172,IF(P172="Carrefour",M172,IF(P172="Auchan",N172,O172))))</x:f>
        <x:v>22.578000000000003</x:v>
      </x:c>
      <x:c r="R172" s="57" t="n">
        <x:f>Q172/'Hypothèses &amp; sources'!$B$4</x:f>
        <x:v>5.644500000000001</x:v>
      </x:c>
      <x:c r="S172" s="56" t="n">
        <x:f>MAX(0,'Hypothèses &amp; sources'!$B$5*MAX(0,MIN(100,'Hypothèses &amp; sources'!$B$10-R172*'Hypothèses &amp; sources'!$B$9))+'Hypothèses &amp; sources'!$B$6*(G172/5*100)+'Hypothèses &amp; sources'!$B$7*(H172/5*100)+'Hypothèses &amp; sources'!$B$8*MAX(0,MIN(100,'Hypothèses &amp; sources'!$B$12-E172*'Hypothèses &amp; sources'!$B$11))-T172)</x:f>
        <x:v>60.87172</x:v>
      </x:c>
      <x:c r="T172" s="33" t="n">
        <x:v>0</x:v>
      </x:c>
    </x:row>
    <x:row r="173">
      <x:c r="A173" s="33" t="n">
        <x:v>169</x:v>
      </x:c>
      <x:c r="B173" s="38" t="str">
        <x:v>Hyderabadi-style Mutton Biryani</x:v>
      </x:c>
      <x:c r="C173" s="38" t="str">
        <x:v>Curry / cuisine épicée</x:v>
      </x:c>
      <x:c r="D173" s="38" t="str">
        <x:v>oignon, ail, gingembre, épices, riz, agneau / mouton, légumes</x:v>
      </x:c>
      <x:c r="E173" s="33" t="n">
        <x:v>25</x:v>
      </x:c>
      <x:c r="F173" s="33" t="n">
        <x:v>55</x:v>
      </x:c>
      <x:c r="G173" s="56" t="n">
        <x:v>4.4</x:v>
      </x:c>
      <x:c r="H173" s="56" t="n">
        <x:v>3.3</x:v>
      </x:c>
      <x:c r="I173" s="33" t="n">
        <x:v>1</x:v>
      </x:c>
      <x:c r="J173" s="57" t="n">
        <x:v>21.3</x:v>
      </x:c>
      <x:c r="K173" s="57" t="n">
        <x:f>J173*'Hypothèses &amp; sources'!$E$4</x:f>
        <x:v>21.3</x:v>
      </x:c>
      <x:c r="L173" s="57" t="n">
        <x:f>J173*'Hypothèses &amp; sources'!$F$4</x:f>
        <x:v>22.578000000000003</x:v>
      </x:c>
      <x:c r="M173" s="57" t="n">
        <x:f>J173*'Hypothèses &amp; sources'!$G$4</x:f>
        <x:v>23.430000000000003</x:v>
      </x:c>
      <x:c r="N173" s="57" t="n">
        <x:f>J173*'Hypothèses &amp; sources'!$H$4</x:f>
        <x:v>23.643000000000004</x:v>
      </x:c>
      <x:c r="O173" s="57" t="n">
        <x:f>J173*'Hypothèses &amp; sources'!$I$4</x:f>
        <x:v>26.412</x:v>
      </x:c>
      <x:c r="P173" s="57" t="str">
        <x:v>Super U</x:v>
      </x:c>
      <x:c r="Q173" s="57" t="n">
        <x:f>IF(P173="Lidl",K173,IF(P173="Super U",L173,IF(P173="Carrefour",M173,IF(P173="Auchan",N173,O173))))</x:f>
        <x:v>22.578000000000003</x:v>
      </x:c>
      <x:c r="R173" s="57" t="n">
        <x:f>Q173/'Hypothèses &amp; sources'!$B$4</x:f>
        <x:v>5.644500000000001</x:v>
      </x:c>
      <x:c r="S173" s="56" t="n">
        <x:f>MAX(0,'Hypothèses &amp; sources'!$B$5*MAX(0,MIN(100,'Hypothèses &amp; sources'!$B$10-R173*'Hypothèses &amp; sources'!$B$9))+'Hypothèses &amp; sources'!$B$6*(G173/5*100)+'Hypothèses &amp; sources'!$B$7*(H173/5*100)+'Hypothèses &amp; sources'!$B$8*MAX(0,MIN(100,'Hypothèses &amp; sources'!$B$12-E173*'Hypothèses &amp; sources'!$B$11))-T173)</x:f>
        <x:v>60.87172</x:v>
      </x:c>
      <x:c r="T173" s="33" t="n">
        <x:v>0</x:v>
      </x:c>
    </x:row>
    <x:row r="174">
      <x:c r="A174" s="33" t="n">
        <x:v>170</x:v>
      </x:c>
      <x:c r="B174" s="38" t="str">
        <x:v>Lamb vindaloo</x:v>
      </x:c>
      <x:c r="C174" s="38" t="str">
        <x:v>Curry / cuisine épicée</x:v>
      </x:c>
      <x:c r="D174" s="38" t="str">
        <x:v>oignon, bouillon, épices, ail, gingembre, agneau / mouton, légumes</x:v>
      </x:c>
      <x:c r="E174" s="33" t="n">
        <x:v>25</x:v>
      </x:c>
      <x:c r="F174" s="33" t="n">
        <x:v>55</x:v>
      </x:c>
      <x:c r="G174" s="56" t="n">
        <x:v>4.4</x:v>
      </x:c>
      <x:c r="H174" s="56" t="n">
        <x:v>3.3</x:v>
      </x:c>
      <x:c r="I174" s="33" t="n">
        <x:v>1</x:v>
      </x:c>
      <x:c r="J174" s="57" t="n">
        <x:v>22</x:v>
      </x:c>
      <x:c r="K174" s="57" t="n">
        <x:f>J174*'Hypothèses &amp; sources'!$E$4</x:f>
        <x:v>22</x:v>
      </x:c>
      <x:c r="L174" s="57" t="n">
        <x:f>J174*'Hypothèses &amp; sources'!$F$4</x:f>
        <x:v>23.32</x:v>
      </x:c>
      <x:c r="M174" s="57" t="n">
        <x:f>J174*'Hypothèses &amp; sources'!$G$4</x:f>
        <x:v>24.200000000000003</x:v>
      </x:c>
      <x:c r="N174" s="57" t="n">
        <x:f>J174*'Hypothèses &amp; sources'!$H$4</x:f>
        <x:v>24.42</x:v>
      </x:c>
      <x:c r="O174" s="57" t="n">
        <x:f>J174*'Hypothèses &amp; sources'!$I$4</x:f>
        <x:v>27.28</x:v>
      </x:c>
      <x:c r="P174" s="57" t="str">
        <x:v>Super U</x:v>
      </x:c>
      <x:c r="Q174" s="57" t="n">
        <x:f>IF(P174="Lidl",K174,IF(P174="Super U",L174,IF(P174="Carrefour",M174,IF(P174="Auchan",N174,O174))))</x:f>
        <x:v>23.32</x:v>
      </x:c>
      <x:c r="R174" s="57" t="n">
        <x:f>Q174/'Hypothèses &amp; sources'!$B$4</x:f>
        <x:v>5.83</x:v>
      </x:c>
      <x:c r="S174" s="56" t="n">
        <x:f>MAX(0,'Hypothèses &amp; sources'!$B$5*MAX(0,MIN(100,'Hypothèses &amp; sources'!$B$10-R174*'Hypothèses &amp; sources'!$B$9))+'Hypothèses &amp; sources'!$B$6*(G174/5*100)+'Hypothèses &amp; sources'!$B$7*(H174/5*100)+'Hypothèses &amp; sources'!$B$8*MAX(0,MIN(100,'Hypothèses &amp; sources'!$B$12-E174*'Hypothèses &amp; sources'!$B$11))-T174)</x:f>
        <x:v>59.9368</x:v>
      </x:c>
      <x:c r="T174" s="33" t="n">
        <x:v>0</x:v>
      </x:c>
    </x:row>
    <x:row r="175">
      <x:c r="A175" s="33" t="n">
        <x:v>171</x:v>
      </x:c>
      <x:c r="B175" s="38" t="str">
        <x:v>Rogan josh/curry d'agneau</x:v>
      </x:c>
      <x:c r="C175" s="38" t="str">
        <x:v>Curry / cuisine épicée</x:v>
      </x:c>
      <x:c r="D175" s="38" t="str">
        <x:v>oignon, bouillon, épices, ail, gingembre, agneau / mouton, légumes</x:v>
      </x:c>
      <x:c r="E175" s="33" t="n">
        <x:v>25</x:v>
      </x:c>
      <x:c r="F175" s="33" t="n">
        <x:v>55</x:v>
      </x:c>
      <x:c r="G175" s="56" t="n">
        <x:v>4.4</x:v>
      </x:c>
      <x:c r="H175" s="56" t="n">
        <x:v>3.3</x:v>
      </x:c>
      <x:c r="I175" s="33" t="n">
        <x:v>1</x:v>
      </x:c>
      <x:c r="J175" s="57" t="n">
        <x:v>22</x:v>
      </x:c>
      <x:c r="K175" s="57" t="n">
        <x:f>J175*'Hypothèses &amp; sources'!$E$4</x:f>
        <x:v>22</x:v>
      </x:c>
      <x:c r="L175" s="57" t="n">
        <x:f>J175*'Hypothèses &amp; sources'!$F$4</x:f>
        <x:v>23.32</x:v>
      </x:c>
      <x:c r="M175" s="57" t="n">
        <x:f>J175*'Hypothèses &amp; sources'!$G$4</x:f>
        <x:v>24.200000000000003</x:v>
      </x:c>
      <x:c r="N175" s="57" t="n">
        <x:f>J175*'Hypothèses &amp; sources'!$H$4</x:f>
        <x:v>24.42</x:v>
      </x:c>
      <x:c r="O175" s="57" t="n">
        <x:f>J175*'Hypothèses &amp; sources'!$I$4</x:f>
        <x:v>27.28</x:v>
      </x:c>
      <x:c r="P175" s="57" t="str">
        <x:v>Super U</x:v>
      </x:c>
      <x:c r="Q175" s="57" t="n">
        <x:f>IF(P175="Lidl",K175,IF(P175="Super U",L175,IF(P175="Carrefour",M175,IF(P175="Auchan",N175,O175))))</x:f>
        <x:v>23.32</x:v>
      </x:c>
      <x:c r="R175" s="57" t="n">
        <x:f>Q175/'Hypothèses &amp; sources'!$B$4</x:f>
        <x:v>5.83</x:v>
      </x:c>
      <x:c r="S175" s="56" t="n">
        <x:f>MAX(0,'Hypothèses &amp; sources'!$B$5*MAX(0,MIN(100,'Hypothèses &amp; sources'!$B$10-R175*'Hypothèses &amp; sources'!$B$9))+'Hypothèses &amp; sources'!$B$6*(G175/5*100)+'Hypothèses &amp; sources'!$B$7*(H175/5*100)+'Hypothèses &amp; sources'!$B$8*MAX(0,MIN(100,'Hypothèses &amp; sources'!$B$12-E175*'Hypothèses &amp; sources'!$B$11))-T175)</x:f>
        <x:v>59.9368</x:v>
      </x:c>
      <x:c r="T175" s="33" t="n">
        <x:v>0</x:v>
      </x:c>
    </x:row>
    <x:row r="176">
      <x:c r="A176" s="33" t="n">
        <x:v>172</x:v>
      </x:c>
      <x:c r="B176" s="38" t="str">
        <x:v>Vindaloo</x:v>
      </x:c>
      <x:c r="C176" s="38" t="str">
        <x:v>Curry / viande</x:v>
      </x:c>
      <x:c r="D176" s="38" t="str">
        <x:v>porc ou poulet, vinaigre, ail, gingembre, piment, épices</x:v>
      </x:c>
      <x:c r="E176" s="33" t="n">
        <x:v>25</x:v>
      </x:c>
      <x:c r="F176" s="33" t="n">
        <x:v>60</x:v>
      </x:c>
      <x:c r="G176" s="56" t="n">
        <x:v>4.5</x:v>
      </x:c>
      <x:c r="H176" s="56" t="n">
        <x:v>3.8</x:v>
      </x:c>
      <x:c r="I176" s="33" t="n">
        <x:v>1</x:v>
      </x:c>
      <x:c r="J176" s="57" t="n">
        <x:v>10</x:v>
      </x:c>
      <x:c r="K176" s="57" t="n">
        <x:f>J176*'Hypothèses &amp; sources'!$E$4</x:f>
        <x:v>10</x:v>
      </x:c>
      <x:c r="L176" s="57" t="n">
        <x:f>J176*'Hypothèses &amp; sources'!$F$4</x:f>
        <x:v>10.600000000000001</x:v>
      </x:c>
      <x:c r="M176" s="57" t="n">
        <x:f>J176*'Hypothèses &amp; sources'!$G$4</x:f>
        <x:v>11</x:v>
      </x:c>
      <x:c r="N176" s="57" t="n">
        <x:f>J176*'Hypothèses &amp; sources'!$H$4</x:f>
        <x:v>11.100000000000001</x:v>
      </x:c>
      <x:c r="O176" s="57" t="n">
        <x:f>J176*'Hypothèses &amp; sources'!$I$4</x:f>
        <x:v>12.4</x:v>
      </x:c>
      <x:c r="P176" s="57" t="str">
        <x:v>Super U</x:v>
      </x:c>
      <x:c r="Q176" s="57" t="n">
        <x:f>IF(P176="Lidl",K176,IF(P176="Super U",L176,IF(P176="Carrefour",M176,IF(P176="Auchan",N176,O176))))</x:f>
        <x:v>10.600000000000001</x:v>
      </x:c>
      <x:c r="R176" s="57" t="n">
        <x:f>Q176/'Hypothèses &amp; sources'!$B$4</x:f>
        <x:v>2.6500000000000004</x:v>
      </x:c>
      <x:c r="S176" s="56" t="n">
        <x:f>MAX(0,'Hypothèses &amp; sources'!$B$5*MAX(0,MIN(100,'Hypothèses &amp; sources'!$B$10-R176*'Hypothèses &amp; sources'!$B$9))+'Hypothèses &amp; sources'!$B$6*(G176/5*100)+'Hypothèses &amp; sources'!$B$7*(H176/5*100)+'Hypothèses &amp; sources'!$B$8*MAX(0,MIN(100,'Hypothèses &amp; sources'!$B$12-E176*'Hypothèses &amp; sources'!$B$11))-T176)</x:f>
        <x:v>78.32399999999998</x:v>
      </x:c>
      <x:c r="T176" s="33" t="n">
        <x:v>0</x:v>
      </x:c>
    </x:row>
    <x:row r="177">
      <x:c r="A177" s="33" t="n">
        <x:v>173</x:v>
      </x:c>
      <x:c r="B177" s="38" t="str">
        <x:v>Poivrons farcis</x:v>
      </x:c>
      <x:c r="C177" s="38" t="str">
        <x:v>Gratin / farci</x:v>
      </x:c>
      <x:c r="D177" s="38" t="str">
        <x:v>poivrons, bœuf haché, riz, tomates, fromage</x:v>
      </x:c>
      <x:c r="E177" s="33" t="n">
        <x:v>25</x:v>
      </x:c>
      <x:c r="F177" s="33" t="n">
        <x:v>60</x:v>
      </x:c>
      <x:c r="G177" s="56" t="n">
        <x:v>4.7</x:v>
      </x:c>
      <x:c r="H177" s="56" t="n">
        <x:v>4.2</x:v>
      </x:c>
      <x:c r="I177" s="33" t="n">
        <x:v>0</x:v>
      </x:c>
      <x:c r="J177" s="57" t="n">
        <x:v>12</x:v>
      </x:c>
      <x:c r="K177" s="57" t="n">
        <x:f>J177*'Hypothèses &amp; sources'!$E$4</x:f>
        <x:v>12</x:v>
      </x:c>
      <x:c r="L177" s="57" t="n">
        <x:f>J177*'Hypothèses &amp; sources'!$F$4</x:f>
        <x:v>12.72</x:v>
      </x:c>
      <x:c r="M177" s="57" t="n">
        <x:f>J177*'Hypothèses &amp; sources'!$G$4</x:f>
        <x:v>13.200000000000001</x:v>
      </x:c>
      <x:c r="N177" s="57" t="n">
        <x:f>J177*'Hypothèses &amp; sources'!$H$4</x:f>
        <x:v>13.32</x:v>
      </x:c>
      <x:c r="O177" s="57" t="n">
        <x:f>J177*'Hypothèses &amp; sources'!$I$4</x:f>
        <x:v>14.879999999999999</x:v>
      </x:c>
      <x:c r="P177" s="57" t="str">
        <x:v>Lidl</x:v>
      </x:c>
      <x:c r="Q177" s="57" t="n">
        <x:f>IF(P177="Lidl",K177,IF(P177="Super U",L177,IF(P177="Carrefour",M177,IF(P177="Auchan",N177,O177))))</x:f>
        <x:v>12</x:v>
      </x:c>
      <x:c r="R177" s="57" t="n">
        <x:f>Q177/'Hypothèses &amp; sources'!$B$4</x:f>
        <x:v>3</x:v>
      </x:c>
      <x:c r="S177" s="56" t="n">
        <x:f>MAX(0,'Hypothèses &amp; sources'!$B$5*MAX(0,MIN(100,'Hypothèses &amp; sources'!$B$10-R177*'Hypothèses &amp; sources'!$B$9))+'Hypothèses &amp; sources'!$B$6*(G177/5*100)+'Hypothèses &amp; sources'!$B$7*(H177/5*100)+'Hypothèses &amp; sources'!$B$8*MAX(0,MIN(100,'Hypothèses &amp; sources'!$B$12-E177*'Hypothèses &amp; sources'!$B$11))-T177)</x:f>
        <x:v>79.12</x:v>
      </x:c>
      <x:c r="T177" s="33" t="n">
        <x:v>0</x:v>
      </x:c>
    </x:row>
    <x:row r="178">
      <x:c r="A178" s="33" t="n">
        <x:v>174</x:v>
      </x:c>
      <x:c r="B178" s="38" t="str">
        <x:v>Adobo chicken with potatoes</x:v>
      </x:c>
      <x:c r="C178" s="38" t="str">
        <x:v>Mijoté / curry</x:v>
      </x:c>
      <x:c r="D178" s="38" t="str">
        <x:v>oignon, bouillon, épices, poulet, légumes</x:v>
      </x:c>
      <x:c r="E178" s="33" t="n">
        <x:v>25</x:v>
      </x:c>
      <x:c r="F178" s="33" t="n">
        <x:v>75</x:v>
      </x:c>
      <x:c r="G178" s="56" t="n">
        <x:v>4.3</x:v>
      </x:c>
      <x:c r="H178" s="56" t="n">
        <x:v>3.7</x:v>
      </x:c>
      <x:c r="I178" s="33" t="n">
        <x:v>0</x:v>
      </x:c>
      <x:c r="J178" s="57" t="n">
        <x:v>10.4</x:v>
      </x:c>
      <x:c r="K178" s="57" t="n">
        <x:f>J178*'Hypothèses &amp; sources'!$E$4</x:f>
        <x:v>10.4</x:v>
      </x:c>
      <x:c r="L178" s="57" t="n">
        <x:f>J178*'Hypothèses &amp; sources'!$F$4</x:f>
        <x:v>11.024000000000001</x:v>
      </x:c>
      <x:c r="M178" s="57" t="n">
        <x:f>J178*'Hypothèses &amp; sources'!$G$4</x:f>
        <x:v>11.440000000000001</x:v>
      </x:c>
      <x:c r="N178" s="57" t="n">
        <x:f>J178*'Hypothèses &amp; sources'!$H$4</x:f>
        <x:v>11.544000000000002</x:v>
      </x:c>
      <x:c r="O178" s="57" t="n">
        <x:f>J178*'Hypothèses &amp; sources'!$I$4</x:f>
        <x:v>12.896</x:v>
      </x:c>
      <x:c r="P178" s="57" t="str">
        <x:v>Lidl</x:v>
      </x:c>
      <x:c r="Q178" s="57" t="n">
        <x:f>IF(P178="Lidl",K178,IF(P178="Super U",L178,IF(P178="Carrefour",M178,IF(P178="Auchan",N178,O178))))</x:f>
        <x:v>10.4</x:v>
      </x:c>
      <x:c r="R178" s="57" t="n">
        <x:f>Q178/'Hypothèses &amp; sources'!$B$4</x:f>
        <x:v>2.6</x:v>
      </x:c>
      <x:c r="S178" s="56" t="n">
        <x:f>MAX(0,'Hypothèses &amp; sources'!$B$5*MAX(0,MIN(100,'Hypothèses &amp; sources'!$B$10-R178*'Hypothèses &amp; sources'!$B$9))+'Hypothèses &amp; sources'!$B$6*(G178/5*100)+'Hypothèses &amp; sources'!$B$7*(H178/5*100)+'Hypothèses &amp; sources'!$B$8*MAX(0,MIN(100,'Hypothèses &amp; sources'!$B$12-E178*'Hypothèses &amp; sources'!$B$11))-T178)</x:f>
        <x:v>77.096</x:v>
      </x:c>
      <x:c r="T178" s="33" t="n">
        <x:v>0</x:v>
      </x:c>
    </x:row>
    <x:row r="179">
      <x:c r="A179" s="33" t="n">
        <x:v>175</x:v>
      </x:c>
      <x:c r="B179" s="38" t="str">
        <x:v>Jamaican chicken fricasse</x:v>
      </x:c>
      <x:c r="C179" s="38" t="str">
        <x:v>Mijoté / curry</x:v>
      </x:c>
      <x:c r="D179" s="38" t="str">
        <x:v>oignon, bouillon, épices, poulet, légumes</x:v>
      </x:c>
      <x:c r="E179" s="33" t="n">
        <x:v>25</x:v>
      </x:c>
      <x:c r="F179" s="33" t="n">
        <x:v>75</x:v>
      </x:c>
      <x:c r="G179" s="56" t="n">
        <x:v>4.3</x:v>
      </x:c>
      <x:c r="H179" s="56" t="n">
        <x:v>3.7</x:v>
      </x:c>
      <x:c r="I179" s="33" t="n">
        <x:v>0</x:v>
      </x:c>
      <x:c r="J179" s="57" t="n">
        <x:v>10.4</x:v>
      </x:c>
      <x:c r="K179" s="57" t="n">
        <x:f>J179*'Hypothèses &amp; sources'!$E$4</x:f>
        <x:v>10.4</x:v>
      </x:c>
      <x:c r="L179" s="57" t="n">
        <x:f>J179*'Hypothèses &amp; sources'!$F$4</x:f>
        <x:v>11.024000000000001</x:v>
      </x:c>
      <x:c r="M179" s="57" t="n">
        <x:f>J179*'Hypothèses &amp; sources'!$G$4</x:f>
        <x:v>11.440000000000001</x:v>
      </x:c>
      <x:c r="N179" s="57" t="n">
        <x:f>J179*'Hypothèses &amp; sources'!$H$4</x:f>
        <x:v>11.544000000000002</x:v>
      </x:c>
      <x:c r="O179" s="57" t="n">
        <x:f>J179*'Hypothèses &amp; sources'!$I$4</x:f>
        <x:v>12.896</x:v>
      </x:c>
      <x:c r="P179" s="57" t="str">
        <x:v>Lidl</x:v>
      </x:c>
      <x:c r="Q179" s="57" t="n">
        <x:f>IF(P179="Lidl",K179,IF(P179="Super U",L179,IF(P179="Carrefour",M179,IF(P179="Auchan",N179,O179))))</x:f>
        <x:v>10.4</x:v>
      </x:c>
      <x:c r="R179" s="57" t="n">
        <x:f>Q179/'Hypothèses &amp; sources'!$B$4</x:f>
        <x:v>2.6</x:v>
      </x:c>
      <x:c r="S179" s="56" t="n">
        <x:f>MAX(0,'Hypothèses &amp; sources'!$B$5*MAX(0,MIN(100,'Hypothèses &amp; sources'!$B$10-R179*'Hypothèses &amp; sources'!$B$9))+'Hypothèses &amp; sources'!$B$6*(G179/5*100)+'Hypothèses &amp; sources'!$B$7*(H179/5*100)+'Hypothèses &amp; sources'!$B$8*MAX(0,MIN(100,'Hypothèses &amp; sources'!$B$12-E179*'Hypothèses &amp; sources'!$B$11))-T179)</x:f>
        <x:v>77.096</x:v>
      </x:c>
      <x:c r="T179" s="33" t="n">
        <x:v>0</x:v>
      </x:c>
    </x:row>
    <x:row r="180">
      <x:c r="A180" s="33" t="n">
        <x:v>176</x:v>
      </x:c>
      <x:c r="B180" s="38" t="str">
        <x:v>Mushroom pork ragout</x:v>
      </x:c>
      <x:c r="C180" s="38" t="str">
        <x:v>Mijoté / curry</x:v>
      </x:c>
      <x:c r="D180" s="38" t="str">
        <x:v>oignon, bouillon, épices, champignons, porc</x:v>
      </x:c>
      <x:c r="E180" s="33" t="n">
        <x:v>25</x:v>
      </x:c>
      <x:c r="F180" s="33" t="n">
        <x:v>75</x:v>
      </x:c>
      <x:c r="G180" s="56" t="n">
        <x:v>4.3</x:v>
      </x:c>
      <x:c r="H180" s="56" t="n">
        <x:v>3.1</x:v>
      </x:c>
      <x:c r="I180" s="33" t="n">
        <x:v>0</x:v>
      </x:c>
      <x:c r="J180" s="57" t="n">
        <x:v>12.4</x:v>
      </x:c>
      <x:c r="K180" s="57" t="n">
        <x:f>J180*'Hypothèses &amp; sources'!$E$4</x:f>
        <x:v>12.4</x:v>
      </x:c>
      <x:c r="L180" s="57" t="n">
        <x:f>J180*'Hypothèses &amp; sources'!$F$4</x:f>
        <x:v>13.144000000000002</x:v>
      </x:c>
      <x:c r="M180" s="57" t="n">
        <x:f>J180*'Hypothèses &amp; sources'!$G$4</x:f>
        <x:v>13.640000000000002</x:v>
      </x:c>
      <x:c r="N180" s="57" t="n">
        <x:f>J180*'Hypothèses &amp; sources'!$H$4</x:f>
        <x:v>13.764000000000001</x:v>
      </x:c>
      <x:c r="O180" s="57" t="n">
        <x:f>J180*'Hypothèses &amp; sources'!$I$4</x:f>
        <x:v>15.376</x:v>
      </x:c>
      <x:c r="P180" s="57" t="str">
        <x:v>Lidl</x:v>
      </x:c>
      <x:c r="Q180" s="57" t="n">
        <x:f>IF(P180="Lidl",K180,IF(P180="Super U",L180,IF(P180="Carrefour",M180,IF(P180="Auchan",N180,O180))))</x:f>
        <x:v>12.4</x:v>
      </x:c>
      <x:c r="R180" s="57" t="n">
        <x:f>Q180/'Hypothèses &amp; sources'!$B$4</x:f>
        <x:v>3.1</x:v>
      </x:c>
      <x:c r="S180" s="56" t="n">
        <x:f>MAX(0,'Hypothèses &amp; sources'!$B$5*MAX(0,MIN(100,'Hypothèses &amp; sources'!$B$10-R180*'Hypothèses &amp; sources'!$B$9))+'Hypothèses &amp; sources'!$B$6*(G180/5*100)+'Hypothèses &amp; sources'!$B$7*(H180/5*100)+'Hypothèses &amp; sources'!$B$8*MAX(0,MIN(100,'Hypothèses &amp; sources'!$B$12-E180*'Hypothèses &amp; sources'!$B$11))-T180)</x:f>
        <x:v>72.416</x:v>
      </x:c>
      <x:c r="T180" s="33" t="n">
        <x:v>0</x:v>
      </x:c>
    </x:row>
    <x:row r="181">
      <x:c r="A181" s="33" t="n">
        <x:v>177</x:v>
      </x:c>
      <x:c r="B181" s="38" t="str">
        <x:v>Poulet braisé au cidre et à la moutarde français</x:v>
      </x:c>
      <x:c r="C181" s="38" t="str">
        <x:v>Mijoté / curry</x:v>
      </x:c>
      <x:c r="D181" s="38" t="str">
        <x:v>oignon, bouillon, épices, poulet, cidre, moutarde, légumes</x:v>
      </x:c>
      <x:c r="E181" s="33" t="n">
        <x:v>25</x:v>
      </x:c>
      <x:c r="F181" s="33" t="n">
        <x:v>75</x:v>
      </x:c>
      <x:c r="G181" s="56" t="n">
        <x:v>4.3</x:v>
      </x:c>
      <x:c r="H181" s="56" t="n">
        <x:v>3.7</x:v>
      </x:c>
      <x:c r="I181" s="33" t="n">
        <x:v>0</x:v>
      </x:c>
      <x:c r="J181" s="57" t="n">
        <x:v>12.6</x:v>
      </x:c>
      <x:c r="K181" s="57" t="n">
        <x:f>J181*'Hypothèses &amp; sources'!$E$4</x:f>
        <x:v>12.6</x:v>
      </x:c>
      <x:c r="L181" s="57" t="n">
        <x:f>J181*'Hypothèses &amp; sources'!$F$4</x:f>
        <x:v>13.356</x:v>
      </x:c>
      <x:c r="M181" s="57" t="n">
        <x:f>J181*'Hypothèses &amp; sources'!$G$4</x:f>
        <x:v>13.860000000000001</x:v>
      </x:c>
      <x:c r="N181" s="57" t="n">
        <x:f>J181*'Hypothèses &amp; sources'!$H$4</x:f>
        <x:v>13.986</x:v>
      </x:c>
      <x:c r="O181" s="57" t="n">
        <x:f>J181*'Hypothèses &amp; sources'!$I$4</x:f>
        <x:v>15.623999999999999</x:v>
      </x:c>
      <x:c r="P181" s="57" t="str">
        <x:v>Lidl</x:v>
      </x:c>
      <x:c r="Q181" s="57" t="n">
        <x:f>IF(P181="Lidl",K181,IF(P181="Super U",L181,IF(P181="Carrefour",M181,IF(P181="Auchan",N181,O181))))</x:f>
        <x:v>12.6</x:v>
      </x:c>
      <x:c r="R181" s="57" t="n">
        <x:f>Q181/'Hypothèses &amp; sources'!$B$4</x:f>
        <x:v>3.15</x:v>
      </x:c>
      <x:c r="S181" s="56" t="n">
        <x:f>MAX(0,'Hypothèses &amp; sources'!$B$5*MAX(0,MIN(100,'Hypothèses &amp; sources'!$B$10-R181*'Hypothèses &amp; sources'!$B$9))+'Hypothèses &amp; sources'!$B$6*(G181/5*100)+'Hypothèses &amp; sources'!$B$7*(H181/5*100)+'Hypothèses &amp; sources'!$B$8*MAX(0,MIN(100,'Hypothèses &amp; sources'!$B$12-E181*'Hypothèses &amp; sources'!$B$11))-T181)</x:f>
        <x:v>74.324</x:v>
      </x:c>
      <x:c r="T181" s="33" t="n">
        <x:v>0</x:v>
      </x:c>
    </x:row>
    <x:row r="182">
      <x:c r="A182" s="33" t="n">
        <x:v>178</x:v>
      </x:c>
      <x:c r="B182" s="38" t="str">
        <x:v>Ragout de poisson</x:v>
      </x:c>
      <x:c r="C182" s="38" t="str">
        <x:v>Mijoté / curry</x:v>
      </x:c>
      <x:c r="D182" s="38" t="str">
        <x:v>oignon, bouillon, épices, poisson blanc, légumes</x:v>
      </x:c>
      <x:c r="E182" s="33" t="n">
        <x:v>25</x:v>
      </x:c>
      <x:c r="F182" s="33" t="n">
        <x:v>75</x:v>
      </x:c>
      <x:c r="G182" s="56" t="n">
        <x:v>3.6</x:v>
      </x:c>
      <x:c r="H182" s="56" t="n">
        <x:v>3.8</x:v>
      </x:c>
      <x:c r="I182" s="33" t="n">
        <x:v>1</x:v>
      </x:c>
      <x:c r="J182" s="57" t="n">
        <x:v>13</x:v>
      </x:c>
      <x:c r="K182" s="57" t="n">
        <x:f>J182*'Hypothèses &amp; sources'!$E$4</x:f>
        <x:v>13</x:v>
      </x:c>
      <x:c r="L182" s="57" t="n">
        <x:f>J182*'Hypothèses &amp; sources'!$F$4</x:f>
        <x:v>13.780000000000001</x:v>
      </x:c>
      <x:c r="M182" s="57" t="n">
        <x:f>J182*'Hypothèses &amp; sources'!$G$4</x:f>
        <x:v>14.3</x:v>
      </x:c>
      <x:c r="N182" s="57" t="n">
        <x:f>J182*'Hypothèses &amp; sources'!$H$4</x:f>
        <x:v>14.430000000000001</x:v>
      </x:c>
      <x:c r="O182" s="57" t="n">
        <x:f>J182*'Hypothèses &amp; sources'!$I$4</x:f>
        <x:v>16.12</x:v>
      </x:c>
      <x:c r="P182" s="57" t="str">
        <x:v>Super U</x:v>
      </x:c>
      <x:c r="Q182" s="57" t="n">
        <x:f>IF(P182="Lidl",K182,IF(P182="Super U",L182,IF(P182="Carrefour",M182,IF(P182="Auchan",N182,O182))))</x:f>
        <x:v>13.780000000000001</x:v>
      </x:c>
      <x:c r="R182" s="57" t="n">
        <x:f>Q182/'Hypothèses &amp; sources'!$B$4</x:f>
        <x:v>3.4450000000000003</x:v>
      </x:c>
      <x:c r="S182" s="56" t="n">
        <x:f>MAX(0,'Hypothèses &amp; sources'!$B$5*MAX(0,MIN(100,'Hypothèses &amp; sources'!$B$10-R182*'Hypothèses &amp; sources'!$B$9))+'Hypothèses &amp; sources'!$B$6*(G182/5*100)+'Hypothèses &amp; sources'!$B$7*(H182/5*100)+'Hypothèses &amp; sources'!$B$8*MAX(0,MIN(100,'Hypothèses &amp; sources'!$B$12-E182*'Hypothèses &amp; sources'!$B$11))-T182)</x:f>
        <x:v>69.2772</x:v>
      </x:c>
      <x:c r="T182" s="33" t="n">
        <x:v>0</x:v>
      </x:c>
    </x:row>
    <x:row r="183">
      <x:c r="A183" s="33" t="n">
        <x:v>179</x:v>
      </x:c>
      <x:c r="B183" s="38" t="str">
        <x:v>Beef birria</x:v>
      </x:c>
      <x:c r="C183" s="38" t="str">
        <x:v>Mijoté / curry</x:v>
      </x:c>
      <x:c r="D183" s="38" t="str">
        <x:v>oignon, bouillon, épices, bœuf à mijoter, légumes</x:v>
      </x:c>
      <x:c r="E183" s="33" t="n">
        <x:v>25</x:v>
      </x:c>
      <x:c r="F183" s="33" t="n">
        <x:v>75</x:v>
      </x:c>
      <x:c r="G183" s="56" t="n">
        <x:v>4.4</x:v>
      </x:c>
      <x:c r="H183" s="56" t="n">
        <x:v>3.3</x:v>
      </x:c>
      <x:c r="I183" s="33" t="n">
        <x:v>0</x:v>
      </x:c>
      <x:c r="J183" s="57" t="n">
        <x:v>15.5</x:v>
      </x:c>
      <x:c r="K183" s="57" t="n">
        <x:f>J183*'Hypothèses &amp; sources'!$E$4</x:f>
        <x:v>15.5</x:v>
      </x:c>
      <x:c r="L183" s="57" t="n">
        <x:f>J183*'Hypothèses &amp; sources'!$F$4</x:f>
        <x:v>16.43</x:v>
      </x:c>
      <x:c r="M183" s="57" t="n">
        <x:f>J183*'Hypothèses &amp; sources'!$G$4</x:f>
        <x:v>17.05</x:v>
      </x:c>
      <x:c r="N183" s="57" t="n">
        <x:f>J183*'Hypothèses &amp; sources'!$H$4</x:f>
        <x:v>17.205000000000002</x:v>
      </x:c>
      <x:c r="O183" s="57" t="n">
        <x:f>J183*'Hypothèses &amp; sources'!$I$4</x:f>
        <x:v>19.22</x:v>
      </x:c>
      <x:c r="P183" s="57" t="str">
        <x:v>Lidl</x:v>
      </x:c>
      <x:c r="Q183" s="57" t="n">
        <x:f>IF(P183="Lidl",K183,IF(P183="Super U",L183,IF(P183="Carrefour",M183,IF(P183="Auchan",N183,O183))))</x:f>
        <x:v>15.5</x:v>
      </x:c>
      <x:c r="R183" s="57" t="n">
        <x:f>Q183/'Hypothèses &amp; sources'!$B$4</x:f>
        <x:v>3.875</x:v>
      </x:c>
      <x:c r="S183" s="56" t="n">
        <x:f>MAX(0,'Hypothèses &amp; sources'!$B$5*MAX(0,MIN(100,'Hypothèses &amp; sources'!$B$10-R183*'Hypothèses &amp; sources'!$B$9))+'Hypothèses &amp; sources'!$B$6*(G183/5*100)+'Hypothèses &amp; sources'!$B$7*(H183/5*100)+'Hypothèses &amp; sources'!$B$8*MAX(0,MIN(100,'Hypothèses &amp; sources'!$B$12-E183*'Hypothèses &amp; sources'!$B$11))-T183)</x:f>
        <x:v>69.78999999999999</x:v>
      </x:c>
      <x:c r="T183" s="33" t="n">
        <x:v>0</x:v>
      </x:c>
    </x:row>
    <x:row r="184">
      <x:c r="A184" s="33" t="n">
        <x:v>180</x:v>
      </x:c>
      <x:c r="B184" s="38" t="str">
        <x:v>Beef stew with root vegetables</x:v>
      </x:c>
      <x:c r="C184" s="38" t="str">
        <x:v>Mijoté / curry</x:v>
      </x:c>
      <x:c r="D184" s="38" t="str">
        <x:v>oignon, bouillon, épices, bœuf à mijoter, légumes</x:v>
      </x:c>
      <x:c r="E184" s="33" t="n">
        <x:v>25</x:v>
      </x:c>
      <x:c r="F184" s="33" t="n">
        <x:v>75</x:v>
      </x:c>
      <x:c r="G184" s="56" t="n">
        <x:v>4.4</x:v>
      </x:c>
      <x:c r="H184" s="56" t="n">
        <x:v>3.3</x:v>
      </x:c>
      <x:c r="I184" s="33" t="n">
        <x:v>0</x:v>
      </x:c>
      <x:c r="J184" s="57" t="n">
        <x:v>15.5</x:v>
      </x:c>
      <x:c r="K184" s="57" t="n">
        <x:f>J184*'Hypothèses &amp; sources'!$E$4</x:f>
        <x:v>15.5</x:v>
      </x:c>
      <x:c r="L184" s="57" t="n">
        <x:f>J184*'Hypothèses &amp; sources'!$F$4</x:f>
        <x:v>16.43</x:v>
      </x:c>
      <x:c r="M184" s="57" t="n">
        <x:f>J184*'Hypothèses &amp; sources'!$G$4</x:f>
        <x:v>17.05</x:v>
      </x:c>
      <x:c r="N184" s="57" t="n">
        <x:f>J184*'Hypothèses &amp; sources'!$H$4</x:f>
        <x:v>17.205000000000002</x:v>
      </x:c>
      <x:c r="O184" s="57" t="n">
        <x:f>J184*'Hypothèses &amp; sources'!$I$4</x:f>
        <x:v>19.22</x:v>
      </x:c>
      <x:c r="P184" s="57" t="str">
        <x:v>Lidl</x:v>
      </x:c>
      <x:c r="Q184" s="57" t="n">
        <x:f>IF(P184="Lidl",K184,IF(P184="Super U",L184,IF(P184="Carrefour",M184,IF(P184="Auchan",N184,O184))))</x:f>
        <x:v>15.5</x:v>
      </x:c>
      <x:c r="R184" s="57" t="n">
        <x:f>Q184/'Hypothèses &amp; sources'!$B$4</x:f>
        <x:v>3.875</x:v>
      </x:c>
      <x:c r="S184" s="56" t="n">
        <x:f>MAX(0,'Hypothèses &amp; sources'!$B$5*MAX(0,MIN(100,'Hypothèses &amp; sources'!$B$10-R184*'Hypothèses &amp; sources'!$B$9))+'Hypothèses &amp; sources'!$B$6*(G184/5*100)+'Hypothèses &amp; sources'!$B$7*(H184/5*100)+'Hypothèses &amp; sources'!$B$8*MAX(0,MIN(100,'Hypothèses &amp; sources'!$B$12-E184*'Hypothèses &amp; sources'!$B$11))-T184)</x:f>
        <x:v>69.78999999999999</x:v>
      </x:c>
      <x:c r="T184" s="33" t="n">
        <x:v>0</x:v>
      </x:c>
    </x:row>
    <x:row r="185">
      <x:c r="A185" s="33" t="n">
        <x:v>181</x:v>
      </x:c>
      <x:c r="B185" s="38" t="str">
        <x:v>Ragout de boeuf</x:v>
      </x:c>
      <x:c r="C185" s="38" t="str">
        <x:v>Mijoté / curry</x:v>
      </x:c>
      <x:c r="D185" s="38" t="str">
        <x:v>oignon, bouillon, épices, bœuf à mijoter, légumes</x:v>
      </x:c>
      <x:c r="E185" s="33" t="n">
        <x:v>25</x:v>
      </x:c>
      <x:c r="F185" s="33" t="n">
        <x:v>75</x:v>
      </x:c>
      <x:c r="G185" s="56" t="n">
        <x:v>4.4</x:v>
      </x:c>
      <x:c r="H185" s="56" t="n">
        <x:v>3.3</x:v>
      </x:c>
      <x:c r="I185" s="33" t="n">
        <x:v>0</x:v>
      </x:c>
      <x:c r="J185" s="57" t="n">
        <x:v>15.5</x:v>
      </x:c>
      <x:c r="K185" s="57" t="n">
        <x:f>J185*'Hypothèses &amp; sources'!$E$4</x:f>
        <x:v>15.5</x:v>
      </x:c>
      <x:c r="L185" s="57" t="n">
        <x:f>J185*'Hypothèses &amp; sources'!$F$4</x:f>
        <x:v>16.43</x:v>
      </x:c>
      <x:c r="M185" s="57" t="n">
        <x:f>J185*'Hypothèses &amp; sources'!$G$4</x:f>
        <x:v>17.05</x:v>
      </x:c>
      <x:c r="N185" s="57" t="n">
        <x:f>J185*'Hypothèses &amp; sources'!$H$4</x:f>
        <x:v>17.205000000000002</x:v>
      </x:c>
      <x:c r="O185" s="57" t="n">
        <x:f>J185*'Hypothèses &amp; sources'!$I$4</x:f>
        <x:v>19.22</x:v>
      </x:c>
      <x:c r="P185" s="57" t="str">
        <x:v>Lidl</x:v>
      </x:c>
      <x:c r="Q185" s="57" t="n">
        <x:f>IF(P185="Lidl",K185,IF(P185="Super U",L185,IF(P185="Carrefour",M185,IF(P185="Auchan",N185,O185))))</x:f>
        <x:v>15.5</x:v>
      </x:c>
      <x:c r="R185" s="57" t="n">
        <x:f>Q185/'Hypothèses &amp; sources'!$B$4</x:f>
        <x:v>3.875</x:v>
      </x:c>
      <x:c r="S185" s="56" t="n">
        <x:f>MAX(0,'Hypothèses &amp; sources'!$B$5*MAX(0,MIN(100,'Hypothèses &amp; sources'!$B$10-R185*'Hypothèses &amp; sources'!$B$9))+'Hypothèses &amp; sources'!$B$6*(G185/5*100)+'Hypothèses &amp; sources'!$B$7*(H185/5*100)+'Hypothèses &amp; sources'!$B$8*MAX(0,MIN(100,'Hypothèses &amp; sources'!$B$12-E185*'Hypothèses &amp; sources'!$B$11))-T185)</x:f>
        <x:v>69.78999999999999</x:v>
      </x:c>
      <x:c r="T185" s="33" t="n">
        <x:v>0</x:v>
      </x:c>
    </x:row>
    <x:row r="186">
      <x:c r="A186" s="33" t="n">
        <x:v>182</x:v>
      </x:c>
      <x:c r="B186" s="38" t="str">
        <x:v>Spicy beef vegetable stew</x:v>
      </x:c>
      <x:c r="C186" s="38" t="str">
        <x:v>Mijoté / curry</x:v>
      </x:c>
      <x:c r="D186" s="38" t="str">
        <x:v>piment / chili, oignon, bouillon, épices, bœuf à mijoter, légumes</x:v>
      </x:c>
      <x:c r="E186" s="33" t="n">
        <x:v>25</x:v>
      </x:c>
      <x:c r="F186" s="33" t="n">
        <x:v>75</x:v>
      </x:c>
      <x:c r="G186" s="56" t="n">
        <x:v>4.4</x:v>
      </x:c>
      <x:c r="H186" s="56" t="n">
        <x:v>3.3</x:v>
      </x:c>
      <x:c r="I186" s="33" t="n">
        <x:v>0</x:v>
      </x:c>
      <x:c r="J186" s="57" t="n">
        <x:v>16</x:v>
      </x:c>
      <x:c r="K186" s="57" t="n">
        <x:f>J186*'Hypothèses &amp; sources'!$E$4</x:f>
        <x:v>16</x:v>
      </x:c>
      <x:c r="L186" s="57" t="n">
        <x:f>J186*'Hypothèses &amp; sources'!$F$4</x:f>
        <x:v>16.96</x:v>
      </x:c>
      <x:c r="M186" s="57" t="n">
        <x:f>J186*'Hypothèses &amp; sources'!$G$4</x:f>
        <x:v>17.6</x:v>
      </x:c>
      <x:c r="N186" s="57" t="n">
        <x:f>J186*'Hypothèses &amp; sources'!$H$4</x:f>
        <x:v>17.76</x:v>
      </x:c>
      <x:c r="O186" s="57" t="n">
        <x:f>J186*'Hypothèses &amp; sources'!$I$4</x:f>
        <x:v>19.84</x:v>
      </x:c>
      <x:c r="P186" s="57" t="str">
        <x:v>Lidl</x:v>
      </x:c>
      <x:c r="Q186" s="57" t="n">
        <x:f>IF(P186="Lidl",K186,IF(P186="Super U",L186,IF(P186="Carrefour",M186,IF(P186="Auchan",N186,O186))))</x:f>
        <x:v>16</x:v>
      </x:c>
      <x:c r="R186" s="57" t="n">
        <x:f>Q186/'Hypothèses &amp; sources'!$B$4</x:f>
        <x:v>4</x:v>
      </x:c>
      <x:c r="S186" s="56" t="n">
        <x:f>MAX(0,'Hypothèses &amp; sources'!$B$5*MAX(0,MIN(100,'Hypothèses &amp; sources'!$B$10-R186*'Hypothèses &amp; sources'!$B$9))+'Hypothèses &amp; sources'!$B$6*(G186/5*100)+'Hypothèses &amp; sources'!$B$7*(H186/5*100)+'Hypothèses &amp; sources'!$B$8*MAX(0,MIN(100,'Hypothèses &amp; sources'!$B$12-E186*'Hypothèses &amp; sources'!$B$11))-T186)</x:f>
        <x:v>69.16</x:v>
      </x:c>
      <x:c r="T186" s="33" t="n">
        <x:v>0</x:v>
      </x:c>
    </x:row>
    <x:row r="187">
      <x:c r="A187" s="33" t="n">
        <x:v>183</x:v>
      </x:c>
      <x:c r="B187" s="38" t="str">
        <x:v>Ragout de chou et haricots au boeuf</x:v>
      </x:c>
      <x:c r="C187" s="38" t="str">
        <x:v>Mijoté / curry</x:v>
      </x:c>
      <x:c r="D187" s="38" t="str">
        <x:v>oignon, bouillon, épices, légumineuses, chou, bœuf à mijoter</x:v>
      </x:c>
      <x:c r="E187" s="33" t="n">
        <x:v>25</x:v>
      </x:c>
      <x:c r="F187" s="33" t="n">
        <x:v>75</x:v>
      </x:c>
      <x:c r="G187" s="56" t="n">
        <x:v>5</x:v>
      </x:c>
      <x:c r="H187" s="56" t="n">
        <x:v>4</x:v>
      </x:c>
      <x:c r="I187" s="33" t="n">
        <x:v>0</x:v>
      </x:c>
      <x:c r="J187" s="57" t="n">
        <x:v>16.9</x:v>
      </x:c>
      <x:c r="K187" s="57" t="n">
        <x:f>J187*'Hypothèses &amp; sources'!$E$4</x:f>
        <x:v>16.9</x:v>
      </x:c>
      <x:c r="L187" s="57" t="n">
        <x:f>J187*'Hypothèses &amp; sources'!$F$4</x:f>
        <x:v>17.913999999999998</x:v>
      </x:c>
      <x:c r="M187" s="57" t="n">
        <x:f>J187*'Hypothèses &amp; sources'!$G$4</x:f>
        <x:v>18.59</x:v>
      </x:c>
      <x:c r="N187" s="57" t="n">
        <x:f>J187*'Hypothèses &amp; sources'!$H$4</x:f>
        <x:v>18.759</x:v>
      </x:c>
      <x:c r="O187" s="57" t="n">
        <x:f>J187*'Hypothèses &amp; sources'!$I$4</x:f>
        <x:v>20.956</x:v>
      </x:c>
      <x:c r="P187" s="57" t="str">
        <x:v>Lidl</x:v>
      </x:c>
      <x:c r="Q187" s="57" t="n">
        <x:f>IF(P187="Lidl",K187,IF(P187="Super U",L187,IF(P187="Carrefour",M187,IF(P187="Auchan",N187,O187))))</x:f>
        <x:v>16.9</x:v>
      </x:c>
      <x:c r="R187" s="57" t="n">
        <x:f>Q187/'Hypothèses &amp; sources'!$B$4</x:f>
        <x:v>4.225</x:v>
      </x:c>
      <x:c r="S187" s="56" t="n">
        <x:f>MAX(0,'Hypothèses &amp; sources'!$B$5*MAX(0,MIN(100,'Hypothèses &amp; sources'!$B$10-R187*'Hypothèses &amp; sources'!$B$9))+'Hypothèses &amp; sources'!$B$6*(G187/5*100)+'Hypothèses &amp; sources'!$B$7*(H187/5*100)+'Hypothèses &amp; sources'!$B$8*MAX(0,MIN(100,'Hypothèses &amp; sources'!$B$12-E187*'Hypothèses &amp; sources'!$B$11))-T187)</x:f>
        <x:v>73.906</x:v>
      </x:c>
      <x:c r="T187" s="33" t="n">
        <x:v>0</x:v>
      </x:c>
    </x:row>
    <x:row r="188">
      <x:c r="A188" s="33" t="n">
        <x:v>184</x:v>
      </x:c>
      <x:c r="B188" s="38" t="str">
        <x:v>Beef stew with mushrooms and barley</x:v>
      </x:c>
      <x:c r="C188" s="38" t="str">
        <x:v>Mijoté / bœuf</x:v>
      </x:c>
      <x:c r="D188" s="38" t="str">
        <x:v>bœuf à mijoter, orge perlé, champignons, carottes, oignon, bouillon</x:v>
      </x:c>
      <x:c r="E188" s="33" t="n">
        <x:v>25</x:v>
      </x:c>
      <x:c r="F188" s="33" t="n">
        <x:v>75</x:v>
      </x:c>
      <x:c r="G188" s="56" t="n">
        <x:v>5</x:v>
      </x:c>
      <x:c r="H188" s="56" t="n">
        <x:v>4.3</x:v>
      </x:c>
      <x:c r="I188" s="33" t="n">
        <x:v>1</x:v>
      </x:c>
      <x:c r="J188" s="57" t="n">
        <x:v>16</x:v>
      </x:c>
      <x:c r="K188" s="57" t="n">
        <x:f>J188*'Hypothèses &amp; sources'!$E$4</x:f>
        <x:v>16</x:v>
      </x:c>
      <x:c r="L188" s="57" t="n">
        <x:f>J188*'Hypothèses &amp; sources'!$F$4</x:f>
        <x:v>16.96</x:v>
      </x:c>
      <x:c r="M188" s="57" t="n">
        <x:f>J188*'Hypothèses &amp; sources'!$G$4</x:f>
        <x:v>17.6</x:v>
      </x:c>
      <x:c r="N188" s="57" t="n">
        <x:f>J188*'Hypothèses &amp; sources'!$H$4</x:f>
        <x:v>17.76</x:v>
      </x:c>
      <x:c r="O188" s="57" t="n">
        <x:f>J188*'Hypothèses &amp; sources'!$I$4</x:f>
        <x:v>19.84</x:v>
      </x:c>
      <x:c r="P188" s="57" t="str">
        <x:v>Super U</x:v>
      </x:c>
      <x:c r="Q188" s="57" t="n">
        <x:f>IF(P188="Lidl",K188,IF(P188="Super U",L188,IF(P188="Carrefour",M188,IF(P188="Auchan",N188,O188))))</x:f>
        <x:v>16.96</x:v>
      </x:c>
      <x:c r="R188" s="57" t="n">
        <x:f>Q188/'Hypothèses &amp; sources'!$B$4</x:f>
        <x:v>4.24</x:v>
      </x:c>
      <x:c r="S188" s="56" t="n">
        <x:f>MAX(0,'Hypothèses &amp; sources'!$B$5*MAX(0,MIN(100,'Hypothèses &amp; sources'!$B$10-R188*'Hypothèses &amp; sources'!$B$9))+'Hypothèses &amp; sources'!$B$6*(G188/5*100)+'Hypothèses &amp; sources'!$B$7*(H188/5*100)+'Hypothèses &amp; sources'!$B$8*MAX(0,MIN(100,'Hypothèses &amp; sources'!$B$12-E188*'Hypothèses &amp; sources'!$B$11))-T188)</x:f>
        <x:v>74.9104</x:v>
      </x:c>
      <x:c r="T188" s="33" t="n">
        <x:v>0</x:v>
      </x:c>
    </x:row>
    <x:row r="189">
      <x:c r="A189" s="33" t="n">
        <x:v>185</x:v>
      </x:c>
      <x:c r="B189" s="38" t="str">
        <x:v>Ragout d'agneau du moyen-orient</x:v>
      </x:c>
      <x:c r="C189" s="38" t="str">
        <x:v>Mijoté / curry</x:v>
      </x:c>
      <x:c r="D189" s="38" t="str">
        <x:v>oignon, bouillon, épices, agneau / mouton, légumes</x:v>
      </x:c>
      <x:c r="E189" s="33" t="n">
        <x:v>25</x:v>
      </x:c>
      <x:c r="F189" s="33" t="n">
        <x:v>75</x:v>
      </x:c>
      <x:c r="G189" s="56" t="n">
        <x:v>4.4</x:v>
      </x:c>
      <x:c r="H189" s="56" t="n">
        <x:v>3.3</x:v>
      </x:c>
      <x:c r="I189" s="33" t="n">
        <x:v>1</x:v>
      </x:c>
      <x:c r="J189" s="57" t="n">
        <x:v>20.5</x:v>
      </x:c>
      <x:c r="K189" s="57" t="n">
        <x:f>J189*'Hypothèses &amp; sources'!$E$4</x:f>
        <x:v>20.5</x:v>
      </x:c>
      <x:c r="L189" s="57" t="n">
        <x:f>J189*'Hypothèses &amp; sources'!$F$4</x:f>
        <x:v>21.73</x:v>
      </x:c>
      <x:c r="M189" s="57" t="n">
        <x:f>J189*'Hypothèses &amp; sources'!$G$4</x:f>
        <x:v>22.55</x:v>
      </x:c>
      <x:c r="N189" s="57" t="n">
        <x:f>J189*'Hypothèses &amp; sources'!$H$4</x:f>
        <x:v>22.755000000000003</x:v>
      </x:c>
      <x:c r="O189" s="57" t="n">
        <x:f>J189*'Hypothèses &amp; sources'!$I$4</x:f>
        <x:v>25.419999999999998</x:v>
      </x:c>
      <x:c r="P189" s="57" t="str">
        <x:v>Super U</x:v>
      </x:c>
      <x:c r="Q189" s="57" t="n">
        <x:f>IF(P189="Lidl",K189,IF(P189="Super U",L189,IF(P189="Carrefour",M189,IF(P189="Auchan",N189,O189))))</x:f>
        <x:v>21.73</x:v>
      </x:c>
      <x:c r="R189" s="57" t="n">
        <x:f>Q189/'Hypothèses &amp; sources'!$B$4</x:f>
        <x:v>5.4325</x:v>
      </x:c>
      <x:c r="S189" s="56" t="n">
        <x:f>MAX(0,'Hypothèses &amp; sources'!$B$5*MAX(0,MIN(100,'Hypothèses &amp; sources'!$B$10-R189*'Hypothèses &amp; sources'!$B$9))+'Hypothèses &amp; sources'!$B$6*(G189/5*100)+'Hypothèses &amp; sources'!$B$7*(H189/5*100)+'Hypothèses &amp; sources'!$B$8*MAX(0,MIN(100,'Hypothèses &amp; sources'!$B$12-E189*'Hypothèses &amp; sources'!$B$11))-T189)</x:f>
        <x:v>61.940200000000004</x:v>
      </x:c>
      <x:c r="T189" s="33" t="n">
        <x:v>0</x:v>
      </x:c>
    </x:row>
    <x:row r="190">
      <x:c r="A190" s="33" t="n">
        <x:v>186</x:v>
      </x:c>
      <x:c r="B190" s="38" t="str">
        <x:v>Venison stew</x:v>
      </x:c>
      <x:c r="C190" s="38" t="str">
        <x:v>Mijoté / curry</x:v>
      </x:c>
      <x:c r="D190" s="38" t="str">
        <x:v>oignon, bouillon, épices, venaison, légumes</x:v>
      </x:c>
      <x:c r="E190" s="33" t="n">
        <x:v>25</x:v>
      </x:c>
      <x:c r="F190" s="33" t="n">
        <x:v>75</x:v>
      </x:c>
      <x:c r="G190" s="56" t="n">
        <x:v>4.3</x:v>
      </x:c>
      <x:c r="H190" s="56" t="n">
        <x:v>3.7</x:v>
      </x:c>
      <x:c r="I190" s="33" t="n">
        <x:v>2</x:v>
      </x:c>
      <x:c r="J190" s="57" t="n">
        <x:v>23</x:v>
      </x:c>
      <x:c r="K190" s="57" t="n">
        <x:f>J190*'Hypothèses &amp; sources'!$E$4</x:f>
        <x:v>23</x:v>
      </x:c>
      <x:c r="L190" s="57" t="n">
        <x:f>J190*'Hypothèses &amp; sources'!$F$4</x:f>
        <x:v>24.380000000000003</x:v>
      </x:c>
      <x:c r="M190" s="57" t="n">
        <x:f>J190*'Hypothèses &amp; sources'!$G$4</x:f>
        <x:v>25.3</x:v>
      </x:c>
      <x:c r="N190" s="57" t="n">
        <x:f>J190*'Hypothèses &amp; sources'!$H$4</x:f>
        <x:v>25.53</x:v>
      </x:c>
      <x:c r="O190" s="57" t="n">
        <x:f>J190*'Hypothèses &amp; sources'!$I$4</x:f>
        <x:v>28.52</x:v>
      </x:c>
      <x:c r="P190" s="57" t="str">
        <x:v>Carrefour</x:v>
      </x:c>
      <x:c r="Q190" s="57" t="n">
        <x:f>IF(P190="Lidl",K190,IF(P190="Super U",L190,IF(P190="Carrefour",M190,IF(P190="Auchan",N190,O190))))</x:f>
        <x:v>25.3</x:v>
      </x:c>
      <x:c r="R190" s="57" t="n">
        <x:f>Q190/'Hypothèses &amp; sources'!$B$4</x:f>
        <x:v>6.325</x:v>
      </x:c>
      <x:c r="S190" s="56" t="n">
        <x:f>MAX(0,'Hypothèses &amp; sources'!$B$5*MAX(0,MIN(100,'Hypothèses &amp; sources'!$B$10-R190*'Hypothèses &amp; sources'!$B$9))+'Hypothèses &amp; sources'!$B$6*(G190/5*100)+'Hypothèses &amp; sources'!$B$7*(H190/5*100)+'Hypothèses &amp; sources'!$B$8*MAX(0,MIN(100,'Hypothèses &amp; sources'!$B$12-E190*'Hypothèses &amp; sources'!$B$11))-T190)</x:f>
        <x:v>58.322</x:v>
      </x:c>
      <x:c r="T190" s="33" t="n">
        <x:v>0</x:v>
      </x:c>
    </x:row>
    <x:row r="191">
      <x:c r="A191" s="33" t="n">
        <x:v>187</x:v>
      </x:c>
      <x:c r="B191" s="38" t="str">
        <x:v>Pozole</x:v>
      </x:c>
      <x:c r="C191" s="38" t="str">
        <x:v>Soupe / viande</x:v>
      </x:c>
      <x:c r="D191" s="38" t="str">
        <x:v>porc ou poulet, maïs hominy, piment, chou, radis, citron vert</x:v>
      </x:c>
      <x:c r="E191" s="33" t="n">
        <x:v>25</x:v>
      </x:c>
      <x:c r="F191" s="33" t="n">
        <x:v>90</x:v>
      </x:c>
      <x:c r="G191" s="56" t="n">
        <x:v>4.8</x:v>
      </x:c>
      <x:c r="H191" s="56" t="n">
        <x:v>4.2</x:v>
      </x:c>
      <x:c r="I191" s="33" t="n">
        <x:v>2</x:v>
      </x:c>
      <x:c r="J191" s="57" t="n">
        <x:v>12</x:v>
      </x:c>
      <x:c r="K191" s="57" t="n">
        <x:f>J191*'Hypothèses &amp; sources'!$E$4</x:f>
        <x:v>12</x:v>
      </x:c>
      <x:c r="L191" s="57" t="n">
        <x:f>J191*'Hypothèses &amp; sources'!$F$4</x:f>
        <x:v>12.72</x:v>
      </x:c>
      <x:c r="M191" s="57" t="n">
        <x:f>J191*'Hypothèses &amp; sources'!$G$4</x:f>
        <x:v>13.200000000000001</x:v>
      </x:c>
      <x:c r="N191" s="57" t="n">
        <x:f>J191*'Hypothèses &amp; sources'!$H$4</x:f>
        <x:v>13.32</x:v>
      </x:c>
      <x:c r="O191" s="57" t="n">
        <x:f>J191*'Hypothèses &amp; sources'!$I$4</x:f>
        <x:v>14.879999999999999</x:v>
      </x:c>
      <x:c r="P191" s="57" t="str">
        <x:v>Carrefour</x:v>
      </x:c>
      <x:c r="Q191" s="57" t="n">
        <x:f>IF(P191="Lidl",K191,IF(P191="Super U",L191,IF(P191="Carrefour",M191,IF(P191="Auchan",N191,O191))))</x:f>
        <x:v>13.200000000000001</x:v>
      </x:c>
      <x:c r="R191" s="57" t="n">
        <x:f>Q191/'Hypothèses &amp; sources'!$B$4</x:f>
        <x:v>3.3000000000000003</x:v>
      </x:c>
      <x:c r="S191" s="56" t="n">
        <x:f>MAX(0,'Hypothèses &amp; sources'!$B$5*MAX(0,MIN(100,'Hypothèses &amp; sources'!$B$10-R191*'Hypothèses &amp; sources'!$B$9))+'Hypothèses &amp; sources'!$B$6*(G191/5*100)+'Hypothèses &amp; sources'!$B$7*(H191/5*100)+'Hypothèses &amp; sources'!$B$8*MAX(0,MIN(100,'Hypothèses &amp; sources'!$B$12-E191*'Hypothèses &amp; sources'!$B$11))-T191)</x:f>
        <x:v>78.168</x:v>
      </x:c>
      <x:c r="T191" s="33" t="n">
        <x:v>0</x:v>
      </x:c>
    </x:row>
    <x:row r="192">
      <x:c r="A192" s="33" t="n">
        <x:v>188</x:v>
      </x:c>
      <x:c r="B192" s="38" t="str">
        <x:v>Braised beef</x:v>
      </x:c>
      <x:c r="C192" s="38" t="str">
        <x:v>Mijoté / curry</x:v>
      </x:c>
      <x:c r="D192" s="38" t="str">
        <x:v>oignon, bouillon, épices, bœuf à mijoter, légumes</x:v>
      </x:c>
      <x:c r="E192" s="33" t="n">
        <x:v>25</x:v>
      </x:c>
      <x:c r="F192" s="33" t="n">
        <x:v>90</x:v>
      </x:c>
      <x:c r="G192" s="56" t="n">
        <x:v>4.4</x:v>
      </x:c>
      <x:c r="H192" s="56" t="n">
        <x:v>3.3</x:v>
      </x:c>
      <x:c r="I192" s="33" t="n">
        <x:v>0</x:v>
      </x:c>
      <x:c r="J192" s="57" t="n">
        <x:v>15.5</x:v>
      </x:c>
      <x:c r="K192" s="57" t="n">
        <x:f>J192*'Hypothèses &amp; sources'!$E$4</x:f>
        <x:v>15.5</x:v>
      </x:c>
      <x:c r="L192" s="57" t="n">
        <x:f>J192*'Hypothèses &amp; sources'!$F$4</x:f>
        <x:v>16.43</x:v>
      </x:c>
      <x:c r="M192" s="57" t="n">
        <x:f>J192*'Hypothèses &amp; sources'!$G$4</x:f>
        <x:v>17.05</x:v>
      </x:c>
      <x:c r="N192" s="57" t="n">
        <x:f>J192*'Hypothèses &amp; sources'!$H$4</x:f>
        <x:v>17.205000000000002</x:v>
      </x:c>
      <x:c r="O192" s="57" t="n">
        <x:f>J192*'Hypothèses &amp; sources'!$I$4</x:f>
        <x:v>19.22</x:v>
      </x:c>
      <x:c r="P192" s="57" t="str">
        <x:v>Lidl</x:v>
      </x:c>
      <x:c r="Q192" s="57" t="n">
        <x:f>IF(P192="Lidl",K192,IF(P192="Super U",L192,IF(P192="Carrefour",M192,IF(P192="Auchan",N192,O192))))</x:f>
        <x:v>15.5</x:v>
      </x:c>
      <x:c r="R192" s="57" t="n">
        <x:f>Q192/'Hypothèses &amp; sources'!$B$4</x:f>
        <x:v>3.875</x:v>
      </x:c>
      <x:c r="S192" s="56" t="n">
        <x:f>MAX(0,'Hypothèses &amp; sources'!$B$5*MAX(0,MIN(100,'Hypothèses &amp; sources'!$B$10-R192*'Hypothèses &amp; sources'!$B$9))+'Hypothèses &amp; sources'!$B$6*(G192/5*100)+'Hypothèses &amp; sources'!$B$7*(H192/5*100)+'Hypothèses &amp; sources'!$B$8*MAX(0,MIN(100,'Hypothèses &amp; sources'!$B$12-E192*'Hypothèses &amp; sources'!$B$11))-T192)</x:f>
        <x:v>69.78999999999999</x:v>
      </x:c>
      <x:c r="T192" s="33" t="n">
        <x:v>0</x:v>
      </x:c>
    </x:row>
    <x:row r="193">
      <x:c r="A193" s="33" t="n">
        <x:v>189</x:v>
      </x:c>
      <x:c r="B193" s="38" t="str">
        <x:v>Wine-braised pulled beef</x:v>
      </x:c>
      <x:c r="C193" s="38" t="str">
        <x:v>Mijoté / curry</x:v>
      </x:c>
      <x:c r="D193" s="38" t="str">
        <x:v>oignon, bouillon, épices, rôti / pièce de bœuf, légumes</x:v>
      </x:c>
      <x:c r="E193" s="33" t="n">
        <x:v>25</x:v>
      </x:c>
      <x:c r="F193" s="33" t="n">
        <x:v>90</x:v>
      </x:c>
      <x:c r="G193" s="56" t="n">
        <x:v>4.4</x:v>
      </x:c>
      <x:c r="H193" s="56" t="n">
        <x:v>3.3</x:v>
      </x:c>
      <x:c r="I193" s="33" t="n">
        <x:v>0</x:v>
      </x:c>
      <x:c r="J193" s="57" t="n">
        <x:v>19</x:v>
      </x:c>
      <x:c r="K193" s="57" t="n">
        <x:f>J193*'Hypothèses &amp; sources'!$E$4</x:f>
        <x:v>19</x:v>
      </x:c>
      <x:c r="L193" s="57" t="n">
        <x:f>J193*'Hypothèses &amp; sources'!$F$4</x:f>
        <x:v>20.14</x:v>
      </x:c>
      <x:c r="M193" s="57" t="n">
        <x:f>J193*'Hypothèses &amp; sources'!$G$4</x:f>
        <x:v>20.900000000000002</x:v>
      </x:c>
      <x:c r="N193" s="57" t="n">
        <x:f>J193*'Hypothèses &amp; sources'!$H$4</x:f>
        <x:v>21.090000000000003</x:v>
      </x:c>
      <x:c r="O193" s="57" t="n">
        <x:f>J193*'Hypothèses &amp; sources'!$I$4</x:f>
        <x:v>23.56</x:v>
      </x:c>
      <x:c r="P193" s="57" t="str">
        <x:v>Lidl</x:v>
      </x:c>
      <x:c r="Q193" s="57" t="n">
        <x:f>IF(P193="Lidl",K193,IF(P193="Super U",L193,IF(P193="Carrefour",M193,IF(P193="Auchan",N193,O193))))</x:f>
        <x:v>19</x:v>
      </x:c>
      <x:c r="R193" s="57" t="n">
        <x:f>Q193/'Hypothèses &amp; sources'!$B$4</x:f>
        <x:v>4.75</x:v>
      </x:c>
      <x:c r="S193" s="56" t="n">
        <x:f>MAX(0,'Hypothèses &amp; sources'!$B$5*MAX(0,MIN(100,'Hypothèses &amp; sources'!$B$10-R193*'Hypothèses &amp; sources'!$B$9))+'Hypothèses &amp; sources'!$B$6*(G193/5*100)+'Hypothèses &amp; sources'!$B$7*(H193/5*100)+'Hypothèses &amp; sources'!$B$8*MAX(0,MIN(100,'Hypothèses &amp; sources'!$B$12-E193*'Hypothèses &amp; sources'!$B$11))-T193)</x:f>
        <x:v>65.38</x:v>
      </x:c>
      <x:c r="T193" s="33" t="n">
        <x:v>0</x:v>
      </x:c>
    </x:row>
    <x:row r="194">
      <x:c r="A194" s="33" t="n">
        <x:v>190</x:v>
      </x:c>
      <x:c r="B194" s="38" t="str">
        <x:v>Spanish oxtail stew</x:v>
      </x:c>
      <x:c r="C194" s="38" t="str">
        <x:v>Mijoté / curry</x:v>
      </x:c>
      <x:c r="D194" s="38" t="str">
        <x:v>ail, oignon, bouillon, épices, queue de bœuf, légumes</x:v>
      </x:c>
      <x:c r="E194" s="33" t="n">
        <x:v>25</x:v>
      </x:c>
      <x:c r="F194" s="33" t="n">
        <x:v>90</x:v>
      </x:c>
      <x:c r="G194" s="56" t="n">
        <x:v>4.5</x:v>
      </x:c>
      <x:c r="H194" s="56" t="n">
        <x:v>3.3</x:v>
      </x:c>
      <x:c r="I194" s="33" t="n">
        <x:v>2</x:v>
      </x:c>
      <x:c r="J194" s="57" t="n">
        <x:v>20.5</x:v>
      </x:c>
      <x:c r="K194" s="57" t="n">
        <x:f>J194*'Hypothèses &amp; sources'!$E$4</x:f>
        <x:v>20.5</x:v>
      </x:c>
      <x:c r="L194" s="57" t="n">
        <x:f>J194*'Hypothèses &amp; sources'!$F$4</x:f>
        <x:v>21.73</x:v>
      </x:c>
      <x:c r="M194" s="57" t="n">
        <x:f>J194*'Hypothèses &amp; sources'!$G$4</x:f>
        <x:v>22.55</x:v>
      </x:c>
      <x:c r="N194" s="57" t="n">
        <x:f>J194*'Hypothèses &amp; sources'!$H$4</x:f>
        <x:v>22.755000000000003</x:v>
      </x:c>
      <x:c r="O194" s="57" t="n">
        <x:f>J194*'Hypothèses &amp; sources'!$I$4</x:f>
        <x:v>25.419999999999998</x:v>
      </x:c>
      <x:c r="P194" s="57" t="str">
        <x:v>Carrefour</x:v>
      </x:c>
      <x:c r="Q194" s="57" t="n">
        <x:f>IF(P194="Lidl",K194,IF(P194="Super U",L194,IF(P194="Carrefour",M194,IF(P194="Auchan",N194,O194))))</x:f>
        <x:v>22.55</x:v>
      </x:c>
      <x:c r="R194" s="57" t="n">
        <x:f>Q194/'Hypothèses &amp; sources'!$B$4</x:f>
        <x:v>5.6375</x:v>
      </x:c>
      <x:c r="S194" s="56" t="n">
        <x:f>MAX(0,'Hypothèses &amp; sources'!$B$5*MAX(0,MIN(100,'Hypothèses &amp; sources'!$B$10-R194*'Hypothèses &amp; sources'!$B$9))+'Hypothèses &amp; sources'!$B$6*(G194/5*100)+'Hypothèses &amp; sources'!$B$7*(H194/5*100)+'Hypothèses &amp; sources'!$B$8*MAX(0,MIN(100,'Hypothèses &amp; sources'!$B$12-E194*'Hypothèses &amp; sources'!$B$11))-T194)</x:f>
        <x:v>61.46699999999999</x:v>
      </x:c>
      <x:c r="T194" s="33" t="n">
        <x:v>0</x:v>
      </x:c>
    </x:row>
    <x:row r="195">
      <x:c r="A195" s="33" t="n">
        <x:v>191</x:v>
      </x:c>
      <x:c r="B195" s="38" t="str">
        <x:v>Lamb shanks curry</x:v>
      </x:c>
      <x:c r="C195" s="38" t="str">
        <x:v>Curry / cuisine épicée</x:v>
      </x:c>
      <x:c r="D195" s="38" t="str">
        <x:v>oignon, ail, gingembre, épices, jarrets d’agneau, légumes</x:v>
      </x:c>
      <x:c r="E195" s="33" t="n">
        <x:v>25</x:v>
      </x:c>
      <x:c r="F195" s="33" t="n">
        <x:v>90</x:v>
      </x:c>
      <x:c r="G195" s="56" t="n">
        <x:v>4</x:v>
      </x:c>
      <x:c r="H195" s="56" t="n">
        <x:v>3.3</x:v>
      </x:c>
      <x:c r="I195" s="33" t="n">
        <x:v>1</x:v>
      </x:c>
      <x:c r="J195" s="57" t="n">
        <x:v>23.9</x:v>
      </x:c>
      <x:c r="K195" s="57" t="n">
        <x:f>J195*'Hypothèses &amp; sources'!$E$4</x:f>
        <x:v>23.9</x:v>
      </x:c>
      <x:c r="L195" s="57" t="n">
        <x:f>J195*'Hypothèses &amp; sources'!$F$4</x:f>
        <x:v>25.334</x:v>
      </x:c>
      <x:c r="M195" s="57" t="n">
        <x:f>J195*'Hypothèses &amp; sources'!$G$4</x:f>
        <x:v>26.29</x:v>
      </x:c>
      <x:c r="N195" s="57" t="n">
        <x:f>J195*'Hypothèses &amp; sources'!$H$4</x:f>
        <x:v>26.529</x:v>
      </x:c>
      <x:c r="O195" s="57" t="n">
        <x:f>J195*'Hypothèses &amp; sources'!$I$4</x:f>
        <x:v>29.636</x:v>
      </x:c>
      <x:c r="P195" s="57" t="str">
        <x:v>Carrefour</x:v>
      </x:c>
      <x:c r="Q195" s="57" t="n">
        <x:f>IF(P195="Lidl",K195,IF(P195="Super U",L195,IF(P195="Carrefour",M195,IF(P195="Auchan",N195,O195))))</x:f>
        <x:v>26.29</x:v>
      </x:c>
      <x:c r="R195" s="57" t="n">
        <x:f>Q195/'Hypothèses &amp; sources'!$B$4</x:f>
        <x:v>6.5725</x:v>
      </x:c>
      <x:c r="S195" s="56" t="n">
        <x:f>MAX(0,'Hypothèses &amp; sources'!$B$5*MAX(0,MIN(100,'Hypothèses &amp; sources'!$B$10-R195*'Hypothèses &amp; sources'!$B$9))+'Hypothèses &amp; sources'!$B$6*(G195/5*100)+'Hypothèses &amp; sources'!$B$7*(H195/5*100)+'Hypothèses &amp; sources'!$B$8*MAX(0,MIN(100,'Hypothèses &amp; sources'!$B$12-E195*'Hypothèses &amp; sources'!$B$11))-T195)</x:f>
        <x:v>53.9546</x:v>
      </x:c>
      <x:c r="T195" s="33" t="n">
        <x:v>0</x:v>
      </x:c>
    </x:row>
    <x:row r="196">
      <x:c r="A196" s="33" t="n">
        <x:v>192</x:v>
      </x:c>
      <x:c r="B196" s="38" t="str">
        <x:v>Biryani au paneer</x:v>
      </x:c>
      <x:c r="C196" s="38" t="str">
        <x:v>Biryani / végétarien</x:v>
      </x:c>
      <x:c r="D196" s="38" t="str">
        <x:v>paneer, riz basmati, oignon, tomates, yaourt, épices</x:v>
      </x:c>
      <x:c r="E196" s="33" t="n">
        <x:v>30</x:v>
      </x:c>
      <x:c r="F196" s="33" t="n">
        <x:v>60</x:v>
      </x:c>
      <x:c r="G196" s="56" t="n">
        <x:v>4.5</x:v>
      </x:c>
      <x:c r="H196" s="56" t="n">
        <x:v>4</x:v>
      </x:c>
      <x:c r="I196" s="33" t="n">
        <x:v>2</x:v>
      </x:c>
      <x:c r="J196" s="57" t="n">
        <x:v>11</x:v>
      </x:c>
      <x:c r="K196" s="57" t="n">
        <x:f>J196*'Hypothèses &amp; sources'!$E$4</x:f>
        <x:v>11</x:v>
      </x:c>
      <x:c r="L196" s="57" t="n">
        <x:f>J196*'Hypothèses &amp; sources'!$F$4</x:f>
        <x:v>11.66</x:v>
      </x:c>
      <x:c r="M196" s="57" t="n">
        <x:f>J196*'Hypothèses &amp; sources'!$G$4</x:f>
        <x:v>12.100000000000001</x:v>
      </x:c>
      <x:c r="N196" s="57" t="n">
        <x:f>J196*'Hypothèses &amp; sources'!$H$4</x:f>
        <x:v>12.21</x:v>
      </x:c>
      <x:c r="O196" s="57" t="n">
        <x:f>J196*'Hypothèses &amp; sources'!$I$4</x:f>
        <x:v>13.64</x:v>
      </x:c>
      <x:c r="P196" s="57" t="str">
        <x:v>Carrefour</x:v>
      </x:c>
      <x:c r="Q196" s="57" t="n">
        <x:f>IF(P196="Lidl",K196,IF(P196="Super U",L196,IF(P196="Carrefour",M196,IF(P196="Auchan",N196,O196))))</x:f>
        <x:v>12.100000000000001</x:v>
      </x:c>
      <x:c r="R196" s="57" t="n">
        <x:f>Q196/'Hypothèses &amp; sources'!$B$4</x:f>
        <x:v>3.0250000000000004</x:v>
      </x:c>
      <x:c r="S196" s="56" t="n">
        <x:f>MAX(0,'Hypothèses &amp; sources'!$B$5*MAX(0,MIN(100,'Hypothèses &amp; sources'!$B$10-R196*'Hypothèses &amp; sources'!$B$9))+'Hypothèses &amp; sources'!$B$6*(G196/5*100)+'Hypothèses &amp; sources'!$B$7*(H196/5*100)+'Hypothèses &amp; sources'!$B$8*MAX(0,MIN(100,'Hypothèses &amp; sources'!$B$12-E196*'Hypothèses &amp; sources'!$B$11))-T196)</x:f>
        <x:v>75.834</x:v>
      </x:c>
      <x:c r="T196" s="33" t="n">
        <x:v>0</x:v>
      </x:c>
    </x:row>
    <x:row r="197">
      <x:c r="A197" s="33" t="n">
        <x:v>193</x:v>
      </x:c>
      <x:c r="B197" s="38" t="str">
        <x:v>Mexican menudo</x:v>
      </x:c>
      <x:c r="C197" s="38" t="str">
        <x:v>Soupe / viande</x:v>
      </x:c>
      <x:c r="D197" s="38" t="str">
        <x:v>tripes de bœuf, maïs hominy, piment, oignon, citron vert</x:v>
      </x:c>
      <x:c r="E197" s="33" t="n">
        <x:v>30</x:v>
      </x:c>
      <x:c r="F197" s="33" t="n">
        <x:v>150</x:v>
      </x:c>
      <x:c r="G197" s="56" t="n">
        <x:v>4.5</x:v>
      </x:c>
      <x:c r="H197" s="56" t="n">
        <x:v>3.5</x:v>
      </x:c>
      <x:c r="I197" s="33" t="n">
        <x:v>2</x:v>
      </x:c>
      <x:c r="J197" s="57" t="n">
        <x:v>13</x:v>
      </x:c>
      <x:c r="K197" s="57" t="n">
        <x:f>J197*'Hypothèses &amp; sources'!$E$4</x:f>
        <x:v>13</x:v>
      </x:c>
      <x:c r="L197" s="57" t="n">
        <x:f>J197*'Hypothèses &amp; sources'!$F$4</x:f>
        <x:v>13.780000000000001</x:v>
      </x:c>
      <x:c r="M197" s="57" t="n">
        <x:f>J197*'Hypothèses &amp; sources'!$G$4</x:f>
        <x:v>14.3</x:v>
      </x:c>
      <x:c r="N197" s="57" t="n">
        <x:f>J197*'Hypothèses &amp; sources'!$H$4</x:f>
        <x:v>14.430000000000001</x:v>
      </x:c>
      <x:c r="O197" s="57" t="n">
        <x:f>J197*'Hypothèses &amp; sources'!$I$4</x:f>
        <x:v>16.12</x:v>
      </x:c>
      <x:c r="P197" s="57" t="str">
        <x:v>Carrefour</x:v>
      </x:c>
      <x:c r="Q197" s="57" t="n">
        <x:f>IF(P197="Lidl",K197,IF(P197="Super U",L197,IF(P197="Carrefour",M197,IF(P197="Auchan",N197,O197))))</x:f>
        <x:v>14.3</x:v>
      </x:c>
      <x:c r="R197" s="57" t="n">
        <x:f>Q197/'Hypothèses &amp; sources'!$B$4</x:f>
        <x:v>3.575</x:v>
      </x:c>
      <x:c r="S197" s="56" t="n">
        <x:f>MAX(0,'Hypothèses &amp; sources'!$B$5*MAX(0,MIN(100,'Hypothèses &amp; sources'!$B$10-R197*'Hypothèses &amp; sources'!$B$9))+'Hypothèses &amp; sources'!$B$6*(G197/5*100)+'Hypothèses &amp; sources'!$B$7*(H197/5*100)+'Hypothèses &amp; sources'!$B$8*MAX(0,MIN(100,'Hypothèses &amp; sources'!$B$12-E197*'Hypothèses &amp; sources'!$B$11))-T197)</x:f>
        <x:v>71.262</x:v>
      </x:c>
      <x:c r="T197" s="33" t="n">
        <x:v>0</x:v>
      </x:c>
    </x:row>
    <x:row r="198">
      <x:c r="A198" s="33" t="n">
        <x:v>194</x:v>
      </x:c>
      <x:c r="B198" s="38" t="str">
        <x:v>Cabbage rolls</x:v>
      </x:c>
      <x:c r="C198" s="38" t="str">
        <x:v>Gratin / farci</x:v>
      </x:c>
      <x:c r="D198" s="38" t="str">
        <x:v>chou, bœuf haché, riz, tomates, oignon</x:v>
      </x:c>
      <x:c r="E198" s="33" t="n">
        <x:v>35</x:v>
      </x:c>
      <x:c r="F198" s="33" t="n">
        <x:v>80</x:v>
      </x:c>
      <x:c r="G198" s="56" t="n">
        <x:v>4.7</x:v>
      </x:c>
      <x:c r="H198" s="56" t="n">
        <x:v>4.1</x:v>
      </x:c>
      <x:c r="I198" s="33" t="n">
        <x:v>0</x:v>
      </x:c>
      <x:c r="J198" s="57" t="n">
        <x:v>11</x:v>
      </x:c>
      <x:c r="K198" s="57" t="n">
        <x:f>J198*'Hypothèses &amp; sources'!$E$4</x:f>
        <x:v>11</x:v>
      </x:c>
      <x:c r="L198" s="57" t="n">
        <x:f>J198*'Hypothèses &amp; sources'!$F$4</x:f>
        <x:v>11.66</x:v>
      </x:c>
      <x:c r="M198" s="57" t="n">
        <x:f>J198*'Hypothèses &amp; sources'!$G$4</x:f>
        <x:v>12.100000000000001</x:v>
      </x:c>
      <x:c r="N198" s="57" t="n">
        <x:f>J198*'Hypothèses &amp; sources'!$H$4</x:f>
        <x:v>12.21</x:v>
      </x:c>
      <x:c r="O198" s="57" t="n">
        <x:f>J198*'Hypothèses &amp; sources'!$I$4</x:f>
        <x:v>13.64</x:v>
      </x:c>
      <x:c r="P198" s="57" t="str">
        <x:v>Lidl</x:v>
      </x:c>
      <x:c r="Q198" s="57" t="n">
        <x:f>IF(P198="Lidl",K198,IF(P198="Super U",L198,IF(P198="Carrefour",M198,IF(P198="Auchan",N198,O198))))</x:f>
        <x:v>11</x:v>
      </x:c>
      <x:c r="R198" s="57" t="n">
        <x:f>Q198/'Hypothèses &amp; sources'!$B$4</x:f>
        <x:v>2.75</x:v>
      </x:c>
      <x:c r="S198" s="56" t="n">
        <x:f>MAX(0,'Hypothèses &amp; sources'!$B$5*MAX(0,MIN(100,'Hypothèses &amp; sources'!$B$10-R198*'Hypothèses &amp; sources'!$B$9))+'Hypothèses &amp; sources'!$B$6*(G198/5*100)+'Hypothèses &amp; sources'!$B$7*(H198/5*100)+'Hypothèses &amp; sources'!$B$8*MAX(0,MIN(100,'Hypothèses &amp; sources'!$B$12-E198*'Hypothèses &amp; sources'!$B$11))-T198)</x:f>
        <x:v>77.38</x:v>
      </x:c>
      <x:c r="T198" s="33" t="n">
        <x:v>0</x:v>
      </x:c>
    </x:row>
    <x:row r="199">
      <x:c r="A199" s="33" t="n">
        <x:v>195</x:v>
      </x:c>
      <x:c r="B199" s="38" t="str">
        <x:v>Stuffed cabbage rolls / halupki</x:v>
      </x:c>
      <x:c r="C199" s="38" t="str">
        <x:v>Gratin / farci</x:v>
      </x:c>
      <x:c r="D199" s="38" t="str">
        <x:v>chou, bœuf et porc hachés, riz, tomates, oignon</x:v>
      </x:c>
      <x:c r="E199" s="33" t="n">
        <x:v>35</x:v>
      </x:c>
      <x:c r="F199" s="33" t="n">
        <x:v>90</x:v>
      </x:c>
      <x:c r="G199" s="56" t="n">
        <x:v>4.8</x:v>
      </x:c>
      <x:c r="H199" s="56" t="n">
        <x:v>4</x:v>
      </x:c>
      <x:c r="I199" s="33" t="n">
        <x:v>0</x:v>
      </x:c>
      <x:c r="J199" s="57" t="n">
        <x:v>12</x:v>
      </x:c>
      <x:c r="K199" s="57" t="n">
        <x:f>J199*'Hypothèses &amp; sources'!$E$4</x:f>
        <x:v>12</x:v>
      </x:c>
      <x:c r="L199" s="57" t="n">
        <x:f>J199*'Hypothèses &amp; sources'!$F$4</x:f>
        <x:v>12.72</x:v>
      </x:c>
      <x:c r="M199" s="57" t="n">
        <x:f>J199*'Hypothèses &amp; sources'!$G$4</x:f>
        <x:v>13.200000000000001</x:v>
      </x:c>
      <x:c r="N199" s="57" t="n">
        <x:f>J199*'Hypothèses &amp; sources'!$H$4</x:f>
        <x:v>13.32</x:v>
      </x:c>
      <x:c r="O199" s="57" t="n">
        <x:f>J199*'Hypothèses &amp; sources'!$I$4</x:f>
        <x:v>14.879999999999999</x:v>
      </x:c>
      <x:c r="P199" s="57" t="str">
        <x:v>Lidl</x:v>
      </x:c>
      <x:c r="Q199" s="57" t="n">
        <x:f>IF(P199="Lidl",K199,IF(P199="Super U",L199,IF(P199="Carrefour",M199,IF(P199="Auchan",N199,O199))))</x:f>
        <x:v>12</x:v>
      </x:c>
      <x:c r="R199" s="57" t="n">
        <x:f>Q199/'Hypothèses &amp; sources'!$B$4</x:f>
        <x:v>3</x:v>
      </x:c>
      <x:c r="S199" s="56" t="n">
        <x:f>MAX(0,'Hypothèses &amp; sources'!$B$5*MAX(0,MIN(100,'Hypothèses &amp; sources'!$B$10-R199*'Hypothèses &amp; sources'!$B$9))+'Hypothèses &amp; sources'!$B$6*(G199/5*100)+'Hypothèses &amp; sources'!$B$7*(H199/5*100)+'Hypothèses &amp; sources'!$B$8*MAX(0,MIN(100,'Hypothèses &amp; sources'!$B$12-E199*'Hypothèses &amp; sources'!$B$11))-T199)</x:f>
        <x:v>76.32</x:v>
      </x:c>
      <x:c r="T199" s="33" t="n">
        <x:v>0</x:v>
      </x:c>
    </x:row>
    <x:row r="200">
      <x:c r="A200" s="33" t="n">
        <x:v>196</x:v>
      </x:c>
      <x:c r="B200" s="38" t="str">
        <x:v>Biryani d’agneau dum</x:v>
      </x:c>
      <x:c r="C200" s="38" t="str">
        <x:v>Biryani / agneau</x:v>
      </x:c>
      <x:c r="D200" s="38" t="str">
        <x:v>agneau, riz basmati, yaourt, oignon, épices, herbes</x:v>
      </x:c>
      <x:c r="E200" s="33" t="n">
        <x:v>35</x:v>
      </x:c>
      <x:c r="F200" s="33" t="n">
        <x:v>90</x:v>
      </x:c>
      <x:c r="G200" s="56" t="n">
        <x:v>5</x:v>
      </x:c>
      <x:c r="H200" s="56" t="n">
        <x:v>3.8</x:v>
      </x:c>
      <x:c r="I200" s="33" t="n">
        <x:v>1</x:v>
      </x:c>
      <x:c r="J200" s="57" t="n">
        <x:v>21</x:v>
      </x:c>
      <x:c r="K200" s="57" t="n">
        <x:f>J200*'Hypothèses &amp; sources'!$E$4</x:f>
        <x:v>21</x:v>
      </x:c>
      <x:c r="L200" s="57" t="n">
        <x:f>J200*'Hypothèses &amp; sources'!$F$4</x:f>
        <x:v>22.26</x:v>
      </x:c>
      <x:c r="M200" s="57" t="n">
        <x:f>J200*'Hypothèses &amp; sources'!$G$4</x:f>
        <x:v>23.1</x:v>
      </x:c>
      <x:c r="N200" s="57" t="n">
        <x:f>J200*'Hypothèses &amp; sources'!$H$4</x:f>
        <x:v>23.310000000000002</x:v>
      </x:c>
      <x:c r="O200" s="57" t="n">
        <x:f>J200*'Hypothèses &amp; sources'!$I$4</x:f>
        <x:v>26.04</x:v>
      </x:c>
      <x:c r="P200" s="57" t="str">
        <x:v>Super U</x:v>
      </x:c>
      <x:c r="Q200" s="57" t="n">
        <x:f>IF(P200="Lidl",K200,IF(P200="Super U",L200,IF(P200="Carrefour",M200,IF(P200="Auchan",N200,O200))))</x:f>
        <x:v>22.26</x:v>
      </x:c>
      <x:c r="R200" s="57" t="n">
        <x:f>Q200/'Hypothèses &amp; sources'!$B$4</x:f>
        <x:v>5.565</x:v>
      </x:c>
      <x:c r="S200" s="56" t="n">
        <x:f>MAX(0,'Hypothèses &amp; sources'!$B$5*MAX(0,MIN(100,'Hypothèses &amp; sources'!$B$10-R200*'Hypothèses &amp; sources'!$B$9))+'Hypothèses &amp; sources'!$B$6*(G200/5*100)+'Hypothèses &amp; sources'!$B$7*(H200/5*100)+'Hypothèses &amp; sources'!$B$8*MAX(0,MIN(100,'Hypothèses &amp; sources'!$B$12-E200*'Hypothèses &amp; sources'!$B$11))-T200)</x:f>
        <x:v>63.7924</x:v>
      </x:c>
      <x:c r="T200" s="33" t="n">
        <x:v>0</x:v>
      </x:c>
    </x:row>
  </x:sheetData>
  <x:mergeCells>
    <x:mergeCell ref="A1:T1"/>
    <x:mergeCell ref="A2:T2"/>
  </x:mergeCells>
  <x:conditionalFormatting sqref="Q5:Q174">
    <x:cfRule type="colorScale" priority="1">
      <x:colorScale>
        <x:cfvo type="min"/>
        <x:cfvo type="percentile" val="50"/>
        <x:cfvo type="max"/>
        <x:color rgb="FFE2F0D9"/>
        <x:color rgb="FFFFF2CC"/>
        <x:color rgb="FFF4CCCC"/>
      </x:colorScale>
    </x:cfRule>
  </x:conditionalFormatting>
  <x:conditionalFormatting sqref="S5:S174">
    <x:cfRule type="dataBar" priority="2">
      <x:dataBar>
        <x:cfvo type="min"/>
        <x:cfvo type="max"/>
        <x:color rgb="FF5B9BD5"/>
      </x:dataBar>
      <x:extLst>
        <x:ext xmlns:x14="http://schemas.microsoft.com/office/spreadsheetml/2009/9/main" uri="{B025F937-C7B1-47D3-B67F-A62EFF666E3E}">
          <x14:id>{E82943E8-ABC6-901A-EB32-18364C608B17}</x14:id>
        </x:ext>
      </x:extLst>
    </x:cfRule>
  </x:conditionalFormatting>
  <x:conditionalFormatting sqref="G5:G174">
    <x:cfRule type="dataBar" priority="3">
      <x:dataBar>
        <x:cfvo type="min"/>
        <x:cfvo type="max"/>
        <x:color rgb="FF70AD47"/>
      </x:dataBar>
      <x:extLst>
        <x:ext xmlns:x14="http://schemas.microsoft.com/office/spreadsheetml/2009/9/main" uri="{B025F937-C7B1-47D3-B67F-A62EFF666E3E}">
          <x14:id>{2B081364-1A08-4C1E-9C71-488DCE5E1E26}</x14:id>
        </x:ext>
      </x:extLst>
    </x:cfRule>
  </x:conditionalFormatting>
  <x:conditionalFormatting sqref="E5:E174">
    <x:cfRule type="colorScale" priority="4">
      <x:colorScale>
        <x:cfvo type="min"/>
        <x:cfvo type="percentile" val="50"/>
        <x:cfvo type="max"/>
        <x:color rgb="FFE2F0D9"/>
        <x:color rgb="FFFFF2CC"/>
        <x:color rgb="FFF4CCCC"/>
      </x:colorScale>
    </x:cfRule>
  </x:conditionalFormatting>
  <x:conditionalFormatting sqref="Q5:Q200">
    <x:cfRule type="colorScale" priority="5">
      <x:colorScale>
        <x:cfvo type="min"/>
        <x:cfvo type="percentile" val="50"/>
        <x:cfvo type="max"/>
        <x:color rgb="FFE2F0D9"/>
        <x:color rgb="FFFFF2CC"/>
        <x:color rgb="FFF4CCCC"/>
      </x:colorScale>
    </x:cfRule>
  </x:conditionalFormatting>
  <x:conditionalFormatting sqref="S5:S200">
    <x:cfRule type="dataBar" priority="6">
      <x:dataBar>
        <x:cfvo type="min"/>
        <x:cfvo type="max"/>
        <x:color rgb="FF5B9BD5"/>
      </x:dataBar>
      <x:extLst>
        <x:ext xmlns:x14="http://schemas.microsoft.com/office/spreadsheetml/2009/9/main" uri="{B025F937-C7B1-47D3-B67F-A62EFF666E3E}">
          <x14:id>{D78757AE-8AB6-1CCF-9FDD-7F5E89701A27}</x14:id>
        </x:ext>
      </x:extLst>
    </x:cfRule>
  </x:conditionalFormatting>
  <x:conditionalFormatting sqref="G5:G200">
    <x:cfRule type="dataBar" priority="7">
      <x:dataBar>
        <x:cfvo type="min"/>
        <x:cfvo type="max"/>
        <x:color rgb="FF70AD47"/>
      </x:dataBar>
      <x:extLst>
        <x:ext xmlns:x14="http://schemas.microsoft.com/office/spreadsheetml/2009/9/main" uri="{B025F937-C7B1-47D3-B67F-A62EFF666E3E}">
          <x14:id>{4FC9F572-F742-7D50-3814-97A83F9F365B}</x14:id>
        </x:ext>
      </x:extLst>
    </x:cfRule>
  </x:conditionalFormatting>
  <x:conditionalFormatting sqref="E5:E200">
    <x:cfRule type="colorScale" priority="8">
      <x:colorScale>
        <x:cfvo type="min"/>
        <x:cfvo type="percentile" val="50"/>
        <x:cfvo type="max"/>
        <x:color rgb="FFE2F0D9"/>
        <x:color rgb="FFFFF2CC"/>
        <x:color rgb="FFF4CCCC"/>
      </x:colorScale>
    </x:cfRule>
  </x:conditionalFormatting>
  <x:pageMargins left="0.7" right="0.7" top="0.75" bottom="0.75" header="0.3" footer="0.3"/>
  <x:tableParts count="1">
    <x:tablePart xmlns:r="http://schemas.openxmlformats.org/officeDocument/2006/relationships" r:id="R39b0188295ef4deb"/>
  </x:tableParts>
  <x:extLst>
    <x:ext xmlns:x14="http://schemas.microsoft.com/office/spreadsheetml/2009/9/main" xmlns:xm="http://schemas.microsoft.com/office/excel/2006/main" uri="{78C0D931-6437-407d-A8EE-F0AAD7539E65}">
      <x14:conditionalFormattings>
        <x14:conditionalFormatting>
          <x14:cfRule type="dataBar" priority="2" id="{E82943E8-ABC6-901A-EB32-18364C608B17}">
            <x14:dataBar gradient="1">
              <x14:cfvo type="min"/>
              <x14:cfvo type="max"/>
              <x14:fillColor rgb="FF5B9BD5"/>
            </x14:dataBar>
          </x14:cfRule>
          <xm:sqref>S5:S174</xm:sqref>
        </x14:conditionalFormatting>
        <x14:conditionalFormatting>
          <x14:cfRule type="dataBar" priority="3" id="{2B081364-1A08-4C1E-9C71-488DCE5E1E26}">
            <x14:dataBar gradient="1">
              <x14:cfvo type="min"/>
              <x14:cfvo type="max"/>
              <x14:fillColor rgb="FF70AD47"/>
            </x14:dataBar>
          </x14:cfRule>
          <xm:sqref>G5:G174</xm:sqref>
        </x14:conditionalFormatting>
        <x14:conditionalFormatting>
          <x14:cfRule type="dataBar" priority="6" id="{D78757AE-8AB6-1CCF-9FDD-7F5E89701A27}">
            <x14:dataBar gradient="1">
              <x14:cfvo type="min"/>
              <x14:cfvo type="max"/>
              <x14:fillColor rgb="FF5B9BD5"/>
            </x14:dataBar>
          </x14:cfRule>
          <xm:sqref>S5:S200</xm:sqref>
        </x14:conditionalFormatting>
        <x14:conditionalFormatting>
          <x14:cfRule type="dataBar" priority="7" id="{4FC9F572-F742-7D50-3814-97A83F9F365B}">
            <x14:dataBar gradient="1">
              <x14:cfvo type="min"/>
              <x14:cfvo type="max"/>
              <x14:fillColor rgb="FF70AD47"/>
            </x14:dataBar>
          </x14:cfRule>
          <xm:sqref>G5:G200</xm:sqref>
        </x14:conditionalFormatting>
      </x14:conditionalFormattings>
    </x:ext>
  </x:extLst>
</x:worksheet>
</file>

<file path=xl/worksheets/sheet5.xml><?xml version="1.0" encoding="utf-8"?>
<x:worksheet xmlns:x="http://schemas.openxmlformats.org/spreadsheetml/2006/main">
  <x:sheetFormatPr defaultRowHeight="15"/>
  <x:cols>
    <x:col min="1" max="1" width="29" hidden="0" customWidth="1"/>
    <x:col min="2" max="2" width="45" hidden="0" customWidth="1"/>
    <x:col min="3" max="3" width="18" hidden="0" customWidth="1"/>
    <x:col min="4" max="4" width="12" hidden="0" customWidth="1"/>
    <x:col min="5" max="5" width="17" hidden="0" customWidth="1"/>
    <x:col min="6" max="6" width="70" hidden="0" customWidth="1"/>
    <x:col min="7" max="7" width="58" hidden="0" customWidth="1"/>
  </x:cols>
  <x:sheetData>
    <x:row r="1" ht="30" customHeight="1">
      <x:c r="A1" s="5" t="str">
        <x:v>Magasins retenus autour de 7 rue de la Paroisse, Chatou</x:v>
      </x:c>
      <x:c r="B1" s="5"/>
      <x:c r="C1" s="5"/>
      <x:c r="D1" s="5"/>
      <x:c r="E1" s="5"/>
      <x:c r="F1" s="5"/>
      <x:c r="G1" s="5"/>
    </x:row>
    <x:row r="3">
      <x:c r="A3" s="14" t="str">
        <x:v>Enseigne</x:v>
      </x:c>
      <x:c r="B3" s="14" t="str">
        <x:v>Adresse</x:v>
      </x:c>
      <x:c r="C3" s="14" t="str">
        <x:v>Distance approximative</x:v>
      </x:c>
      <x:c r="D3" s="14" t="str">
        <x:v>Indice prix</x:v>
      </x:c>
      <x:c r="E3" s="14" t="str">
        <x:v>Assortiment</x:v>
      </x:c>
      <x:c r="F3" s="14" t="str">
        <x:v>Note</x:v>
      </x:c>
      <x:c r="G3" s="14" t="str">
        <x:v>Source</x:v>
      </x:c>
    </x:row>
    <x:row r="4">
      <x:c r="A4" s="30" t="str">
        <x:v>Monoprix / futur Lidl Chatou</x:v>
      </x:c>
      <x:c r="B4" s="30" t="str">
        <x:v>3 rue de la Paroisse, 78400 Chatou</x:v>
      </x:c>
      <x:c r="C4" s="30" t="str">
        <x:v>≈ 50–100 m</x:v>
      </x:c>
      <x:c r="D4" s="60" t="n">
        <x:v>1.24</x:v>
      </x:c>
      <x:c r="E4" s="30" t="str">
        <x:v>Moyen à large</x:v>
      </x:c>
      <x:c r="F4" s="30" t="str">
        <x:v>Statut incertain au 27/07/2026 : la page Monoprix est encore active, mais la cession à Lidl était annoncée pour fin juin 2026.</x:v>
      </x:c>
      <x:c r="G4" s="30" t="str">
        <x:v>https://www.monoprix.fr/1934.html</x:v>
      </x:c>
    </x:row>
    <x:row r="5">
      <x:c r="A5" s="30" t="str">
        <x:v>Super U Chatou Berteaux</x:v>
      </x:c>
      <x:c r="B5" s="30" t="str">
        <x:v>5 place Maurice Berteaux, 78400 Chatou</x:v>
      </x:c>
      <x:c r="C5" s="30" t="str">
        <x:v>≈ 300–500 m</x:v>
      </x:c>
      <x:c r="D5" s="60" t="n">
        <x:v>1.06</x:v>
      </x:c>
      <x:c r="E5" s="30" t="str">
        <x:v>Large</x:v>
      </x:c>
      <x:c r="F5" s="30" t="str">
        <x:v>Très proche et bon compromis disponibilité/prix.</x:v>
      </x:c>
      <x:c r="G5" s="30" t="str">
        <x:v>https://www.magasins-u.com/magasin/superu-chatou</x:v>
      </x:c>
    </x:row>
    <x:row r="6">
      <x:c r="A6" s="30" t="str">
        <x:v>Lidl Montesson</x:v>
      </x:c>
      <x:c r="B6" s="30" t="str">
        <x:v>15 avenue Gabriel Péri, 78360 Montesson</x:v>
      </x:c>
      <x:c r="C6" s="30" t="str">
        <x:v>≈ 2–3 km</x:v>
      </x:c>
      <x:c r="D6" s="60" t="n">
        <x:v>1</x:v>
      </x:c>
      <x:c r="E6" s="30" t="str">
        <x:v>Moyen</x:v>
      </x:c>
      <x:c r="F6" s="30" t="str">
        <x:v>Référence prix basse ; produits très spécialisés pas toujours disponibles.</x:v>
      </x:c>
      <x:c r="G6" s="30" t="str">
        <x:v>https://www.lidl.fr/c/supermarches-et-horaires/s10019824</x:v>
      </x:c>
    </x:row>
    <x:row r="7">
      <x:c r="A7" s="30" t="str">
        <x:v>Carrefour Montesson</x:v>
      </x:c>
      <x:c r="B7" s="30" t="str">
        <x:v>280 avenue Gabriel Péri, 78360 Montesson</x:v>
      </x:c>
      <x:c r="C7" s="30" t="str">
        <x:v>≈ 3–4 km</x:v>
      </x:c>
      <x:c r="D7" s="60" t="n">
        <x:v>1.1</x:v>
      </x:c>
      <x:c r="E7" s="30" t="str">
        <x:v>Très large</x:v>
      </x:c>
      <x:c r="F7" s="30" t="str">
        <x:v>Meilleur choix pratique pour poblano, miso, paneer, coupes rares, produits internationaux.</x:v>
      </x:c>
      <x:c r="G7" s="30" t="str">
        <x:v>https://www.carrefour.fr/magasin/montesson</x:v>
      </x:c>
    </x:row>
    <x:row r="8">
      <x:c r="A8" s="30" t="str">
        <x:v>Auchan Supermarché Rueil-Malmaison</x:v>
      </x:c>
      <x:c r="B8" s="30" t="str">
        <x:v>262 avenue Napoléon Bonaparte, 92500 Rueil-Malmaison</x:v>
      </x:c>
      <x:c r="C8" s="30" t="str">
        <x:v>≈ 3–5 km</x:v>
      </x:c>
      <x:c r="D8" s="60" t="n">
        <x:v>1.11</x:v>
      </x:c>
      <x:c r="E8" s="30" t="str">
        <x:v>Large</x:v>
      </x:c>
      <x:c r="F8" s="30" t="str">
        <x:v>Alternative à Carrefour ; prix modélisé légèrement supérieur à Lidl.</x:v>
      </x:c>
      <x:c r="G8" s="30" t="str">
        <x:v>https://www.auchan.fr/magasins/supermarche/auchan-supermarche-rueil-malmaison/s-1249</x:v>
      </x:c>
    </x:row>
  </x:sheetData>
  <x:mergeCells>
    <x:mergeCell ref="A1:G1"/>
  </x:mergeCells>
  <x:pageMargins left="0.7" right="0.7" top="0.75" bottom="0.75" header="0.3" footer="0.3"/>
  <x:tableParts count="1">
    <x:tablePart xmlns:r="http://schemas.openxmlformats.org/officeDocument/2006/relationships" r:id="R3e157f1fa90a4b65"/>
  </x:tableParts>
</x:worksheet>
</file>

<file path=xl/worksheets/sheet6.xml><?xml version="1.0" encoding="utf-8"?>
<x:worksheet xmlns:x="http://schemas.openxmlformats.org/spreadsheetml/2006/main">
  <x:sheetFormatPr defaultRowHeight="15"/>
  <x:cols>
    <x:col min="1" max="1" width="9" hidden="0" customWidth="1"/>
    <x:col min="2" max="2" width="38" hidden="0" customWidth="1"/>
    <x:col min="3" max="3" width="15" hidden="0" customWidth="1"/>
    <x:col min="4" max="4" width="15" hidden="0" customWidth="1"/>
    <x:col min="5" max="5" width="13" hidden="0" customWidth="1"/>
    <x:col min="6" max="6" width="12" hidden="0" customWidth="1"/>
    <x:col min="7" max="7" width="3"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 min="15" max="15" width="12" hidden="0" customWidth="1"/>
    <x:col min="16" max="16" width="12" hidden="0" customWidth="1"/>
  </x:cols>
  <x:sheetData>
    <x:row r="1" ht="32" customHeight="1">
      <x:c r="A1" s="86" t="str">
        <x:v>Recettes - synthèse qualité-prix</x:v>
      </x:c>
      <x:c r="B1" s="86"/>
      <x:c r="C1" s="86"/>
      <x:c r="D1" s="86"/>
      <x:c r="E1" s="86"/>
      <x:c r="F1" s="86"/>
      <x:c r="G1" s="86"/>
      <x:c r="H1" s="86"/>
      <x:c r="I1" s="86"/>
      <x:c r="J1" s="86"/>
    </x:row>
    <x:row r="3" ht="28" customHeight="1">
      <x:c r="A3" s="87" t="str">
        <x:v>Recettes</x:v>
      </x:c>
      <x:c r="B3" s="87" t="n">
        <x:v>196</x:v>
      </x:c>
      <x:c r="D3" s="87" t="str">
        <x:v>Coût médian</x:v>
      </x:c>
      <x:c r="E3" s="88" t="n">
        <x:v>9.9</x:v>
      </x:c>
      <x:c r="G3" s="87" t="str">
        <x:v>Prépa médiane</x:v>
      </x:c>
      <x:c r="H3" s="89" t="n">
        <x:v>20</x:v>
      </x:c>
      <x:c r="I3" s="87" t="str">
        <x:v>Score médian</x:v>
      </x:c>
      <x:c r="J3" s="90" t="n">
        <x:v>76.0394</x:v>
      </x:c>
    </x:row>
    <x:row r="6">
      <x:c r="A6" s="84" t="str">
        <x:v>Rang</x:v>
      </x:c>
      <x:c r="B6" s="84" t="str">
        <x:v>Recette</x:v>
      </x:c>
      <x:c r="C6" s="84" t="str">
        <x:v>Coût recommandé</x:v>
      </x:c>
      <x:c r="D6" s="84" t="str">
        <x:v>€/portion</x:v>
      </x:c>
      <x:c r="E6" s="84" t="str">
        <x:v>Préparation</x:v>
      </x:c>
      <x:c r="F6" s="84" t="str">
        <x:v>Score</x:v>
      </x:c>
    </x:row>
    <x:row r="7">
      <x:c r="A7" s="30" t="n">
        <x:v>1</x:v>
      </x:c>
      <x:c r="B7" s="30" t="str">
        <x:v>Israeli couscous and lentils</x:v>
      </x:c>
      <x:c r="C7" s="76" t="n">
        <x:v>5.5120000000000005</x:v>
      </x:c>
      <x:c r="D7" s="76" t="n">
        <x:v>1.3780000000000001</x:v>
      </x:c>
      <x:c r="E7" s="77" t="n">
        <x:v>15</x:v>
      </x:c>
      <x:c r="F7" s="78" t="n">
        <x:v>90.25488</x:v>
      </x:c>
    </x:row>
    <x:row r="8">
      <x:c r="A8" s="30" t="n">
        <x:v>2</x:v>
      </x:c>
      <x:c r="B8" s="30" t="str">
        <x:v>Chickpea orzo soup</x:v>
      </x:c>
      <x:c r="C8" s="76" t="n">
        <x:v>4.5</x:v>
      </x:c>
      <x:c r="D8" s="76" t="n">
        <x:v>1.125</x:v>
      </x:c>
      <x:c r="E8" s="77" t="n">
        <x:v>15</x:v>
      </x:c>
      <x:c r="F8" s="78" t="n">
        <x:v>87.52999999999999</x:v>
      </x:c>
    </x:row>
    <x:row r="9">
      <x:c r="A9" s="30" t="n">
        <x:v>3</x:v>
      </x:c>
      <x:c r="B9" s="30" t="str">
        <x:v>Mujadara/lentils and rice</x:v>
      </x:c>
      <x:c r="C9" s="76" t="n">
        <x:v>3.2</x:v>
      </x:c>
      <x:c r="D9" s="76" t="n">
        <x:v>0.8</x:v>
      </x:c>
      <x:c r="E9" s="77" t="n">
        <x:v>20</x:v>
      </x:c>
      <x:c r="F9" s="78" t="n">
        <x:v>87.52000000000001</x:v>
      </x:c>
    </x:row>
    <x:row r="10">
      <x:c r="A10" s="30" t="n">
        <x:v>4</x:v>
      </x:c>
      <x:c r="B10" s="30" t="str">
        <x:v>Riz et haricots</x:v>
      </x:c>
      <x:c r="C10" s="76" t="n">
        <x:v>3.2</x:v>
      </x:c>
      <x:c r="D10" s="76" t="n">
        <x:v>0.8</x:v>
      </x:c>
      <x:c r="E10" s="77" t="n">
        <x:v>20</x:v>
      </x:c>
      <x:c r="F10" s="78" t="n">
        <x:v>87.52000000000001</x:v>
      </x:c>
    </x:row>
    <x:row r="11">
      <x:c r="A11" s="30" t="n">
        <x:v>5</x:v>
      </x:c>
      <x:c r="B11" s="30" t="str">
        <x:v>Soupe aux haricots noirs et aux jeunes pousses</x:v>
      </x:c>
      <x:c r="C11" s="76" t="n">
        <x:v>3.4</x:v>
      </x:c>
      <x:c r="D11" s="76" t="n">
        <x:v>0.85</x:v>
      </x:c>
      <x:c r="E11" s="77" t="n">
        <x:v>15</x:v>
      </x:c>
      <x:c r="F11" s="78" t="n">
        <x:v>87.236</x:v>
      </x:c>
    </x:row>
    <x:row r="12">
      <x:c r="A12" s="30" t="n">
        <x:v>6</x:v>
      </x:c>
      <x:c r="B12" s="30" t="str">
        <x:v>Turkish red lentil soup</x:v>
      </x:c>
      <x:c r="C12" s="76" t="n">
        <x:v>3.4</x:v>
      </x:c>
      <x:c r="D12" s="76" t="n">
        <x:v>0.85</x:v>
      </x:c>
      <x:c r="E12" s="77" t="n">
        <x:v>15</x:v>
      </x:c>
      <x:c r="F12" s="78" t="n">
        <x:v>87.236</x:v>
      </x:c>
    </x:row>
    <x:row r="13">
      <x:c r="A13" s="30" t="n">
        <x:v>7</x:v>
      </x:c>
      <x:c r="B13" s="30" t="str">
        <x:v>Quick chicken and bean stew</x:v>
      </x:c>
      <x:c r="C13" s="76" t="n">
        <x:v>9.5</x:v>
      </x:c>
      <x:c r="D13" s="76" t="n">
        <x:v>2.375</x:v>
      </x:c>
      <x:c r="E13" s="77" t="n">
        <x:v>15</x:v>
      </x:c>
      <x:c r="F13" s="78" t="n">
        <x:v>86.55</x:v>
      </x:c>
    </x:row>
    <x:row r="14">
      <x:c r="A14" s="30" t="n">
        <x:v>8</x:v>
      </x:c>
      <x:c r="B14" s="30" t="str">
        <x:v>Split pea soup with harissa</x:v>
      </x:c>
      <x:c r="C14" s="76" t="n">
        <x:v>4.452000000000001</x:v>
      </x:c>
      <x:c r="D14" s="76" t="n">
        <x:v>1.1130000000000002</x:v>
      </x:c>
      <x:c r="E14" s="77" t="n">
        <x:v>15</x:v>
      </x:c>
      <x:c r="F14" s="78" t="n">
        <x:v>85.91047999999999</x:v>
      </x:c>
    </x:row>
    <x:row r="15">
      <x:c r="A15" s="30" t="n">
        <x:v>9</x:v>
      </x:c>
      <x:c r="B15" s="30" t="str">
        <x:v>Vegan bolognese</x:v>
      </x:c>
      <x:c r="C15" s="76" t="n">
        <x:v>6.8</x:v>
      </x:c>
      <x:c r="D15" s="76" t="n">
        <x:v>1.7</x:v>
      </x:c>
      <x:c r="E15" s="77" t="n">
        <x:v>20</x:v>
      </x:c>
      <x:c r="F15" s="78" t="n">
        <x:v>85.83200000000001</x:v>
      </x:c>
    </x:row>
    <x:row r="16">
      <x:c r="A16" s="30" t="n">
        <x:v>10</x:v>
      </x:c>
      <x:c r="B16" s="30" t="str">
        <x:v>Easy chicken and rice</x:v>
      </x:c>
      <x:c r="C16" s="76" t="n">
        <x:v>8.8</x:v>
      </x:c>
      <x:c r="D16" s="76" t="n">
        <x:v>2.2</x:v>
      </x:c>
      <x:c r="E16" s="77" t="n">
        <x:v>10</x:v>
      </x:c>
      <x:c r="F16" s="78" t="n">
        <x:v>85.832</x:v>
      </x:c>
    </x:row>
    <x:row r="17">
      <x:c r="A17" s="30" t="n">
        <x:v>11</x:v>
      </x:c>
      <x:c r="B17" s="30" t="str">
        <x:v>Mixed lentils with ginger and chile</x:v>
      </x:c>
      <x:c r="C17" s="76" t="n">
        <x:v>3.2</x:v>
      </x:c>
      <x:c r="D17" s="76" t="n">
        <x:v>0.8</x:v>
      </x:c>
      <x:c r="E17" s="77" t="n">
        <x:v>20</x:v>
      </x:c>
      <x:c r="F17" s="78" t="n">
        <x:v>85.28</x:v>
      </x:c>
    </x:row>
    <x:row r="18">
      <x:c r="A18" s="30" t="n">
        <x:v>12</x:v>
      </x:c>
      <x:c r="B18" s="30" t="str">
        <x:v>Tahari/riz jaune aux pomem de terre</x:v>
      </x:c>
      <x:c r="C18" s="76" t="n">
        <x:v>5.300000000000001</x:v>
      </x:c>
      <x:c r="D18" s="76" t="n">
        <x:v>1.3250000000000002</x:v>
      </x:c>
      <x:c r="E18" s="77" t="n">
        <x:v>20</x:v>
      </x:c>
      <x:c r="F18" s="78" t="n">
        <x:v>85.20200000000001</x:v>
      </x:c>
    </x:row>
    <x:row r="19">
      <x:c r="A19" s="30" t="n">
        <x:v>13</x:v>
      </x:c>
      <x:c r="B19" s="30" t="str">
        <x:v>Dump &amp; done wild rice soup</x:v>
      </x:c>
      <x:c r="C19" s="76" t="n">
        <x:v>7.95</x:v>
      </x:c>
      <x:c r="D19" s="76" t="n">
        <x:v>1.9875</x:v>
      </x:c>
      <x:c r="E19" s="77" t="n">
        <x:v>10</x:v>
      </x:c>
      <x:c r="F19" s="78" t="n">
        <x:v>84.82300000000001</x:v>
      </x:c>
    </x:row>
    <x:row r="20">
      <x:c r="A20" s="30" t="n">
        <x:v>14</x:v>
      </x:c>
      <x:c r="B20" s="30" t="str">
        <x:v>Green beans and potatoes</x:v>
      </x:c>
      <x:c r="C20" s="76" t="n">
        <x:v>6.1</x:v>
      </x:c>
      <x:c r="D20" s="76" t="n">
        <x:v>1.525</x:v>
      </x:c>
      <x:c r="E20" s="77" t="n">
        <x:v>20</x:v>
      </x:c>
      <x:c r="F20" s="78" t="n">
        <x:v>84.59400000000001</x:v>
      </x:c>
    </x:row>
    <x:row r="21">
      <x:c r="A21" s="30" t="n">
        <x:v>15</x:v>
      </x:c>
      <x:c r="B21" s="30" t="str">
        <x:v>Caldo tlalpeno/soupe au poulet et aux pois chiche</x:v>
      </x:c>
      <x:c r="C21" s="76" t="n">
        <x:v>9.8</x:v>
      </x:c>
      <x:c r="D21" s="76" t="n">
        <x:v>2.45</x:v>
      </x:c>
      <x:c r="E21" s="77" t="n">
        <x:v>15</x:v>
      </x:c>
      <x:c r="F21" s="78" t="n">
        <x:v>84.532</x:v>
      </x:c>
    </x:row>
    <x:row r="24" ht="58" customHeight="1">
      <x:c r="A24" s="91" t="str">
        <x:v>Lecture : un score élevé favorise le coût par portion, la satiété, l’équilibre estimé et un temps actif court. Les accompagnements, desserts, boissons, condiments et snacks sont pénalisés pour ne pas dominer artificiellement le classement. Base de prix du 27/07/2026 ; liste mise à jour le 28/07/2026.</x:v>
      </x:c>
      <x:c r="B24" s="91"/>
      <x:c r="C24" s="91"/>
      <x:c r="D24" s="91"/>
      <x:c r="E24" s="91"/>
      <x:c r="F24" s="91"/>
      <x:c r="G24" s="91"/>
      <x:c r="H24" s="91"/>
      <x:c r="I24" s="91"/>
      <x:c r="J24" s="91"/>
    </x:row>
  </x:sheetData>
  <x:mergeCells>
    <x:mergeCell ref="A1:J1"/>
    <x:mergeCell ref="A24:J24"/>
  </x:mergeCells>
  <x:pageMargins left="0.7" right="0.7" top="0.75" bottom="0.75" header="0.3" footer="0.3"/>
  <x:drawing xmlns:r="http://schemas.openxmlformats.org/officeDocument/2006/relationships" r:id="R97ca2577c43c4d3f"/>
  <x:tableParts count="1">
    <x:tablePart xmlns:r="http://schemas.openxmlformats.org/officeDocument/2006/relationships" r:id="R40f7302f4e95484a"/>
  </x:tableParts>
</x:worksheet>
</file>